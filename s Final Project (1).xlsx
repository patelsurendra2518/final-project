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atel\Downloads\"/>
    </mc:Choice>
  </mc:AlternateContent>
  <xr:revisionPtr revIDLastSave="0" documentId="8_{FF32BBFB-348B-4455-BB42-D5A26EC4D536}" xr6:coauthVersionLast="47" xr6:coauthVersionMax="47" xr10:uidLastSave="{00000000-0000-0000-0000-000000000000}"/>
  <bookViews>
    <workbookView xWindow="-120" yWindow="-120" windowWidth="20730" windowHeight="11040" activeTab="5" xr2:uid="{56BE4A15-4DEC-4D46-A5EA-7BE8CD32BDE8}"/>
  </bookViews>
  <sheets>
    <sheet name="Instruction" sheetId="1" r:id="rId1"/>
    <sheet name="Raw_Data" sheetId="2" r:id="rId2"/>
    <sheet name="Analysis" sheetId="3" r:id="rId3"/>
    <sheet name="Summary_Output" sheetId="6" r:id="rId4"/>
    <sheet name="Pivot_Report" sheetId="4" r:id="rId5"/>
    <sheet name="Dashboard" sheetId="5" r:id="rId6"/>
  </sheets>
  <externalReferences>
    <externalReference r:id="rId7"/>
  </externalReference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5" l="1"/>
  <c r="B14" i="5"/>
  <c r="B11" i="5"/>
  <c r="B8" i="5"/>
  <c r="B5" i="5"/>
  <c r="C45" i="3" l="1"/>
  <c r="C46" i="3"/>
  <c r="C47" i="3"/>
  <c r="C48" i="3"/>
  <c r="C49" i="3"/>
  <c r="C50" i="3"/>
  <c r="C51" i="3"/>
  <c r="C52" i="3"/>
  <c r="C53" i="3"/>
  <c r="C44" i="3"/>
  <c r="B45" i="3"/>
  <c r="B46" i="3"/>
  <c r="B47" i="3"/>
  <c r="B48" i="3"/>
  <c r="B49" i="3"/>
  <c r="B50" i="3"/>
  <c r="B51" i="3"/>
  <c r="B52" i="3"/>
  <c r="B53" i="3"/>
  <c r="B44" i="3"/>
  <c r="B37" i="3"/>
  <c r="B38" i="3"/>
  <c r="B36" i="3"/>
  <c r="B30" i="3"/>
  <c r="B31" i="3"/>
  <c r="B32" i="3"/>
  <c r="B29" i="3"/>
  <c r="B22" i="3"/>
  <c r="B23" i="3"/>
  <c r="B24" i="3"/>
  <c r="B25" i="3"/>
  <c r="B21" i="3"/>
  <c r="B15" i="3"/>
  <c r="B16" i="3"/>
  <c r="B17" i="3"/>
  <c r="B12" i="3"/>
  <c r="B11" i="3"/>
  <c r="B10" i="3"/>
  <c r="B9" i="3"/>
  <c r="B8" i="3"/>
  <c r="B7" i="3"/>
  <c r="B6" i="3"/>
  <c r="B5" i="3"/>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alcChain>
</file>

<file path=xl/sharedStrings.xml><?xml version="1.0" encoding="utf-8"?>
<sst xmlns="http://schemas.openxmlformats.org/spreadsheetml/2006/main" count="2598" uniqueCount="569">
  <si>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</si>
  <si>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</si>
  <si>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</si>
  <si>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</si>
  <si>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</si>
  <si>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</si>
  <si>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</si>
  <si>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</si>
  <si>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</si>
  <si>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</si>
  <si>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</si>
  <si>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</si>
  <si>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</si>
  <si>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</si>
  <si>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</si>
  <si>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</si>
  <si>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</si>
  <si>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</si>
  <si>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</si>
  <si>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</si>
  <si>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</si>
  <si>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</si>
  <si>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</si>
  <si>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</si>
  <si>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</si>
  <si>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</si>
  <si>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</si>
  <si>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</si>
  <si>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</si>
  <si>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</si>
  <si>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</si>
  <si>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</si>
  <si>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</si>
  <si>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</si>
  <si>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</si>
  <si>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</si>
  <si>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</si>
  <si>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</si>
  <si>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</si>
  <si>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</si>
  <si>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</si>
  <si>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</si>
  <si>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</si>
  <si>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</si>
  <si>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</si>
  <si>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</si>
  <si>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</si>
  <si>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</si>
  <si>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</si>
  <si>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</si>
  <si>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</si>
  <si>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</si>
  <si>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</si>
  <si>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</si>
  <si>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</si>
  <si>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</si>
  <si>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</si>
  <si>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</si>
  <si>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</si>
  <si>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</si>
  <si>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</si>
  <si>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</si>
  <si>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</si>
  <si>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</si>
  <si>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</si>
  <si>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</si>
  <si>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</si>
  <si>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</si>
  <si>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</si>
  <si>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</si>
  <si>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</si>
  <si>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</si>
  <si>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</si>
  <si>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</si>
  <si>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</si>
  <si>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</si>
  <si>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</si>
  <si>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</si>
  <si>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</si>
  <si>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</si>
  <si>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</si>
  <si>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</si>
  <si>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</si>
  <si>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</si>
  <si>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</si>
  <si>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</si>
  <si>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</si>
  <si>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</si>
  <si>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</si>
  <si>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</si>
  <si>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</si>
  <si>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</si>
  <si>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</si>
  <si>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</si>
  <si>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</si>
  <si>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</si>
  <si>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</si>
  <si>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</si>
  <si>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</si>
  <si>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</si>
  <si>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</si>
  <si>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</si>
  <si>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</si>
  <si>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</si>
  <si>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</si>
  <si>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</si>
  <si>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</si>
  <si>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</si>
  <si>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</si>
  <si>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</si>
  <si>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</si>
  <si>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</si>
  <si>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</si>
  <si>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</si>
  <si>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</si>
  <si>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</si>
  <si>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</si>
  <si>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</si>
  <si>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</si>
  <si>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</si>
  <si>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</si>
  <si>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</si>
  <si>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</si>
  <si>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</si>
  <si>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</si>
  <si>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</si>
  <si>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</si>
  <si>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</si>
  <si>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</si>
  <si>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</si>
  <si>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</si>
  <si>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</si>
  <si>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</si>
  <si>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</si>
  <si>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</si>
  <si>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</si>
  <si>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</si>
  <si>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</si>
  <si>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</si>
  <si>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</si>
  <si>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</si>
  <si>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</si>
  <si>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</si>
  <si>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</si>
  <si>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</si>
  <si>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</si>
  <si>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</si>
  <si>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</si>
  <si>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</si>
  <si>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</si>
  <si>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</si>
  <si>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</si>
  <si>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</si>
  <si>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</si>
  <si>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</si>
  <si>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</si>
  <si>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</si>
  <si>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</si>
  <si>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</si>
  <si>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</si>
  <si>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</si>
  <si>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</si>
  <si>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</si>
  <si>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</si>
  <si>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</si>
  <si>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</si>
  <si>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</si>
  <si>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</si>
  <si>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</si>
  <si>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</si>
  <si>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</si>
  <si>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</si>
  <si>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</si>
  <si>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</si>
  <si>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</si>
  <si>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</si>
  <si>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</si>
  <si>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</si>
  <si>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</si>
  <si>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</si>
  <si>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</si>
  <si>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</si>
  <si>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</si>
  <si>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</si>
  <si>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</si>
  <si>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</si>
  <si>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</si>
  <si>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</si>
  <si>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</si>
  <si>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</si>
  <si>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</si>
  <si>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</si>
  <si>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</si>
  <si>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</si>
  <si>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</si>
  <si>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</si>
  <si>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</si>
  <si>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</si>
  <si>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</si>
  <si>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</si>
  <si>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</si>
  <si>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</si>
  <si>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</si>
  <si>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</si>
  <si>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</si>
  <si>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</si>
  <si>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</si>
  <si>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</si>
  <si>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</si>
  <si>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</si>
  <si>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</si>
  <si>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</si>
  <si>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</si>
  <si>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</si>
  <si>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</si>
  <si>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</si>
  <si>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</si>
  <si>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</si>
  <si>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</si>
  <si>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</si>
  <si>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</si>
  <si>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</si>
  <si>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</si>
  <si>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</si>
  <si>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</si>
  <si>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</si>
  <si>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</si>
  <si>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</si>
  <si>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</si>
  <si>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</si>
  <si>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</si>
  <si>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</si>
  <si>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</si>
  <si>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</si>
  <si>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</si>
  <si>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</si>
  <si>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</si>
  <si>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</si>
  <si>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</si>
  <si>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</si>
  <si>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</si>
  <si>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</si>
  <si>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</si>
  <si>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</si>
  <si>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</si>
  <si>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</si>
  <si>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</si>
  <si>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</si>
  <si>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</si>
  <si>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</si>
  <si>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</si>
  <si>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</si>
  <si>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</si>
  <si>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</si>
  <si>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</si>
  <si>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</si>
  <si>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</si>
  <si>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</si>
  <si>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</si>
  <si>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</si>
  <si>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</si>
  <si>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</si>
  <si>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</si>
  <si>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</si>
  <si>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</si>
  <si>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</si>
  <si>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</si>
  <si>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</si>
  <si>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</si>
  <si>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</si>
  <si>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</si>
  <si>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</si>
  <si>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</si>
  <si>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</si>
  <si>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</si>
  <si>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</si>
  <si>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</si>
  <si>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</si>
  <si>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</si>
  <si>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</si>
  <si>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</si>
  <si>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</si>
  <si>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</si>
  <si>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</si>
  <si>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</si>
  <si>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</si>
  <si>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</si>
  <si>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</si>
  <si>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</si>
  <si>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</si>
  <si>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</si>
  <si>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</si>
  <si>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</si>
  <si>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</si>
  <si>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</si>
  <si>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</si>
  <si>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</si>
  <si>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</si>
  <si>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</si>
  <si>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</si>
  <si>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</si>
  <si>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</si>
  <si>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</si>
  <si>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</si>
  <si>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</si>
  <si>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</si>
  <si>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</si>
  <si>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</si>
  <si>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</si>
  <si>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</si>
  <si>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</si>
  <si>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</si>
  <si>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</si>
  <si>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</si>
  <si>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</si>
  <si>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</si>
  <si>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</si>
  <si>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</si>
  <si>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</si>
  <si>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</si>
  <si>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</si>
  <si>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</si>
  <si>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</si>
  <si>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</si>
  <si>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</si>
  <si>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</si>
  <si>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</si>
  <si>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</si>
  <si>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</si>
  <si>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</si>
  <si>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</si>
  <si>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</si>
  <si>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</si>
  <si>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</si>
  <si>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</si>
  <si>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</si>
  <si>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</si>
  <si>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</si>
  <si>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</si>
  <si>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</si>
  <si>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</si>
  <si>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</si>
  <si>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</si>
  <si>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</si>
  <si>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</si>
  <si>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</si>
  <si>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</si>
  <si>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</si>
  <si>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</si>
  <si>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</si>
  <si>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</si>
  <si>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</si>
  <si>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</si>
  <si>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</si>
  <si>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</si>
  <si>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</si>
  <si>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</si>
  <si>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</si>
  <si>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</si>
  <si>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</si>
  <si>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</si>
  <si>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</si>
  <si>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</si>
  <si>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</si>
  <si>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</si>
  <si>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</si>
  <si>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</si>
  <si>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</si>
  <si>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</si>
  <si>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</si>
  <si>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</si>
  <si>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</si>
  <si>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</si>
  <si>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</si>
  <si>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</si>
  <si>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</si>
  <si>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</si>
  <si>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</si>
  <si>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</si>
  <si>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</si>
  <si>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</si>
  <si>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</si>
  <si>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</si>
  <si>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</si>
  <si>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</si>
  <si>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</si>
  <si>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</si>
  <si>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</si>
  <si>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</si>
  <si>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</si>
  <si>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</si>
  <si>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</si>
  <si>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</si>
  <si>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</si>
  <si>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</si>
  <si>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</si>
  <si>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</si>
  <si>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</si>
  <si>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</si>
  <si>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</si>
  <si>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Year</t>
  </si>
  <si>
    <t>Customer Age Days</t>
  </si>
  <si>
    <t>Customer Tenure</t>
  </si>
  <si>
    <t>Transaction Month End</t>
  </si>
  <si>
    <t>High Value Customer</t>
  </si>
  <si>
    <t>Timestamp</t>
  </si>
  <si>
    <t>Customer Transaction Analysis</t>
  </si>
  <si>
    <t>A</t>
  </si>
  <si>
    <t>B</t>
  </si>
  <si>
    <t>Total Revenue</t>
  </si>
  <si>
    <t>Total Transactions</t>
  </si>
  <si>
    <t>Total Quantity Sold</t>
  </si>
  <si>
    <t>Average Order Value</t>
  </si>
  <si>
    <t>Highest Sale</t>
  </si>
  <si>
    <t>Lowest Sale</t>
  </si>
  <si>
    <t>Total Customers</t>
  </si>
  <si>
    <t>High Value Customers</t>
  </si>
  <si>
    <t>Sales</t>
  </si>
  <si>
    <t>Payment Method</t>
  </si>
  <si>
    <t>Segment</t>
  </si>
  <si>
    <t>C</t>
  </si>
  <si>
    <t>Customer Name</t>
  </si>
  <si>
    <t>Total Purchase</t>
  </si>
  <si>
    <t>Status</t>
  </si>
  <si>
    <t>Region Wise Sales</t>
  </si>
  <si>
    <t>Payment Method Analysis</t>
  </si>
  <si>
    <t>Customer Segment Analysis</t>
  </si>
  <si>
    <t>High Value Customer Analysis</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</si>
  <si>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</si>
  <si>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</si>
  <si>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</si>
  <si>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</si>
  <si>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</si>
  <si>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</si>
  <si>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</si>
  <si>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</si>
  <si>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</si>
  <si>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</si>
  <si>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</si>
  <si>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</si>
  <si>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</si>
  <si>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</si>
  <si>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</si>
  <si>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</si>
  <si>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</si>
  <si>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</si>
  <si>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</si>
  <si>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</si>
  <si>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</si>
  <si>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</si>
  <si>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</si>
  <si>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</si>
  <si>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RESIDUAL OUTPUT</t>
  </si>
  <si>
    <t>Observation</t>
  </si>
  <si>
    <t>Predicted Total_Amount</t>
  </si>
  <si>
    <t>Residuals</t>
  </si>
  <si>
    <t>Total Sales</t>
  </si>
  <si>
    <t>Revenue</t>
  </si>
  <si>
    <t>Pivot Reports - Customer Transaction Analysis</t>
  </si>
  <si>
    <t>Pivot Table 1 – Region Wise Sales</t>
  </si>
  <si>
    <t>Pivot Table 2 – Category Wise Sales</t>
  </si>
  <si>
    <t>Quantity Sold</t>
  </si>
  <si>
    <t>Pivot Table 3 – Product Wise Quantity Sold</t>
  </si>
  <si>
    <t>Pivot Table 4 – Payment Method Analysis</t>
  </si>
  <si>
    <t>Pivot Table 5 – Customer Segment</t>
  </si>
  <si>
    <t>Total_Sales</t>
  </si>
  <si>
    <t>Pivot Table 6 – Monthly Sales Trend</t>
  </si>
  <si>
    <t>Apr-2024</t>
  </si>
  <si>
    <t>Apr-2025</t>
  </si>
  <si>
    <t>Aug-2024</t>
  </si>
  <si>
    <t>Dec-2024</t>
  </si>
  <si>
    <t>Feb-2025</t>
  </si>
  <si>
    <t>Jan-2025</t>
  </si>
  <si>
    <t>Jul-2024</t>
  </si>
  <si>
    <t>Jun-2024</t>
  </si>
  <si>
    <t>Mar-2025</t>
  </si>
  <si>
    <t>May-2024</t>
  </si>
  <si>
    <t>Nov-2024</t>
  </si>
  <si>
    <t>Oct-2024</t>
  </si>
  <si>
    <t>Sep-2024</t>
  </si>
  <si>
    <t>Pivot Table 7 – High Value Customer</t>
  </si>
  <si>
    <t>Pivot Table 8 – Customer Count by Region</t>
  </si>
  <si>
    <t>Count of Customer_ID</t>
  </si>
  <si>
    <t>Pivot Table 9 – Product Count</t>
  </si>
  <si>
    <t>Count of Transaction_ID</t>
  </si>
  <si>
    <t>Transactions</t>
  </si>
  <si>
    <t>Average Order</t>
  </si>
  <si>
    <t>CUSTOMER TRANSACTION DASHBOARD</t>
  </si>
  <si>
    <t>Project Title</t>
  </si>
  <si>
    <t>Customer Transaction Analysis Dashboard using Microsoft Excel</t>
  </si>
  <si>
    <t>Project Objective</t>
  </si>
  <si>
    <t>The objective of this project is to analyze customer transaction data using Microsoft Excel. The project demonstrates data cleaning, data analysis, Pivot Tables, Pivot Charts, Dashboard creation, and business insights for better decision-making.</t>
  </si>
  <si>
    <t>Software Used</t>
  </si>
  <si>
    <t>Microsoft Excel (Old Version Compatible)</t>
  </si>
  <si>
    <t>Excel Pivot Tables</t>
  </si>
  <si>
    <t>Pivot Charts</t>
  </si>
  <si>
    <t>Data Analysis ToolPak</t>
  </si>
  <si>
    <t>Goal Seek</t>
  </si>
  <si>
    <t>Conditional Formatting</t>
  </si>
  <si>
    <t>Project Workflow</t>
  </si>
  <si>
    <t>Step 1 – Raw Data Preparation</t>
  </si>
  <si>
    <t>Imported the given dataset into Excel.</t>
  </si>
  <si>
    <t>Converted the dataset into an Excel Table.</t>
  </si>
  <si>
    <t>Checked data accuracy and formatting.</t>
  </si>
  <si>
    <t>Step 2 – Helper Columns</t>
  </si>
  <si>
    <t>Created additional columns using Excel formulas:</t>
  </si>
  <si>
    <t>Customer Age (Days)</t>
  </si>
  <si>
    <t>Step 3 – Data Analysis</t>
  </si>
  <si>
    <t>Performed analysis using Excel formulas:</t>
  </si>
  <si>
    <t>Category-wise Sales</t>
  </si>
  <si>
    <t>Region-wise Sales</t>
  </si>
  <si>
    <t>Step 4 – What-If Analysis</t>
  </si>
  <si>
    <r>
      <t xml:space="preserve">Used </t>
    </r>
    <r>
      <rPr>
        <b/>
        <sz val="11"/>
        <color theme="1"/>
        <rFont val="Calibri"/>
        <family val="2"/>
        <scheme val="minor"/>
      </rPr>
      <t>Goal Seek</t>
    </r>
    <r>
      <rPr>
        <sz val="11"/>
        <color theme="1"/>
        <rFont val="Calibri"/>
        <family val="2"/>
        <scheme val="minor"/>
      </rPr>
      <t xml:space="preserve"> to estimate target sales values.</t>
    </r>
  </si>
  <si>
    <t>Step 5 – Linear Regression</t>
  </si>
  <si>
    <r>
      <t xml:space="preserve">Performed Regression Analysis using the </t>
    </r>
    <r>
      <rPr>
        <b/>
        <sz val="11"/>
        <color theme="1"/>
        <rFont val="Calibri"/>
        <family val="2"/>
        <scheme val="minor"/>
      </rPr>
      <t>Data Analysis ToolPak</t>
    </r>
    <r>
      <rPr>
        <sz val="11"/>
        <color theme="1"/>
        <rFont val="Calibri"/>
        <family val="2"/>
        <scheme val="minor"/>
      </rPr>
      <t xml:space="preserve"> to study the relationship between Quantity Sold and Total Amount.</t>
    </r>
  </si>
  <si>
    <t>Step 6 – Pivot Reports</t>
  </si>
  <si>
    <t>Created Pivot Tables for:</t>
  </si>
  <si>
    <t>Category Wise Sales</t>
  </si>
  <si>
    <t>Product Performance</t>
  </si>
  <si>
    <t>Monthly Sales Trend</t>
  </si>
  <si>
    <t>Customer Count by Region</t>
  </si>
  <si>
    <t>Step 7 – Dashboard</t>
  </si>
  <si>
    <t>Created an interactive dashboard containing:</t>
  </si>
  <si>
    <t>Slicers</t>
  </si>
  <si>
    <t>Timeline</t>
  </si>
  <si>
    <t>Business Insights</t>
  </si>
  <si>
    <t>Excel Functions Used</t>
  </si>
  <si>
    <t>Date &amp; Time Functions</t>
  </si>
  <si>
    <t>TODAY()</t>
  </si>
  <si>
    <t>NOW()</t>
  </si>
  <si>
    <t>YEAR()</t>
  </si>
  <si>
    <t>TEXT()</t>
  </si>
  <si>
    <t>DATEDIF()</t>
  </si>
  <si>
    <t>EOMONTH()</t>
  </si>
  <si>
    <t>Logical Functions</t>
  </si>
  <si>
    <t>IF()</t>
  </si>
  <si>
    <t>Statistical Functions</t>
  </si>
  <si>
    <t>SUM()</t>
  </si>
  <si>
    <t>AVERAGE()</t>
  </si>
  <si>
    <t>MAX()</t>
  </si>
  <si>
    <t>MIN()</t>
  </si>
  <si>
    <t>COUNTIF()</t>
  </si>
  <si>
    <t>COUNTA()</t>
  </si>
  <si>
    <t>Lookup &amp; Reference</t>
  </si>
  <si>
    <t>SUMIF()</t>
  </si>
  <si>
    <t>INDEX()</t>
  </si>
  <si>
    <t>MATCH()</t>
  </si>
  <si>
    <t>Text Functions</t>
  </si>
  <si>
    <t>LEFT()</t>
  </si>
  <si>
    <t>MID()</t>
  </si>
  <si>
    <t>FIND()</t>
  </si>
  <si>
    <t>UPPER()</t>
  </si>
  <si>
    <t>Excel Features Used</t>
  </si>
  <si>
    <t>Excel Tables</t>
  </si>
  <si>
    <t>Sorting &amp; Filtering</t>
  </si>
  <si>
    <t>Pivot Tables</t>
  </si>
  <si>
    <t>Data Analysis ToolPak (Regression)</t>
  </si>
  <si>
    <t>Dashboard Design</t>
  </si>
  <si>
    <t>Business Outcome</t>
  </si>
  <si>
    <t>This dashboard helps in:</t>
  </si>
  <si>
    <t>Identifying high-performing regions.</t>
  </si>
  <si>
    <t>Finding top-selling products.</t>
  </si>
  <si>
    <t>Analyzing customer segments.</t>
  </si>
  <si>
    <t>Tracking monthly sales trends.</t>
  </si>
  <si>
    <t>Understanding payment method preferences.</t>
  </si>
  <si>
    <t>Identifying high-value customers.</t>
  </si>
  <si>
    <t>Supporting better business decisions.</t>
  </si>
  <si>
    <t>Conclusion</t>
  </si>
  <si>
    <t>This project demonstrates practical use of Microsoft Excel for business data analysis and dashboard reporting. It combines formulas, Pivot Tables, charts, and interactive filters to convert raw transaction data into meaningful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</si>
</sst>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m/d/yy;@"/>
    <numFmt numFmtId="165" formatCode="_ [$₹-44E]* #,##0.00_ ;_ [$₹-44E]* \-#,##0.00_ ;_ [$₹-44E]* &quot;-&quot;??_ ;_ @_ "/>
    <numFmt numFmtId="166" formatCode="_-[$₹-44C]* #,##0.00_-;\-[$₹-44C]* #,##0.00_-;_-[$₹-44C]* &quot;-&quot;??_-;_-@_-"/>
    <numFmt numFmtId="167" formatCode="[$₹-447]#,##0.00"/>
    <numFmt numFmtId="168" formatCode="[$₹-4009]\ #,##0.00"/>
    <numFmt numFmtId="169" formatCode="_ [$₹-4009]\ * #,##0.00_ ;_ [$₹-4009]\ * \-#,##0.00_ ;_ [$₹-4009]\ * &quot;-&quot;??_ ;_ @_ "/>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8"/>
      <color theme="0"/>
      <name val="Calibri"/>
      <family val="2"/>
      <scheme val="minor"/>
    </font>
    <font>
      <i/>
      <sz val="11"/>
      <color theme="1"/>
      <name val="Calibri"/>
      <family val="2"/>
      <scheme val="minor"/>
    </font>
    <font>
      <b/>
      <sz val="16"/>
      <color theme="0"/>
      <name val="Calibri"/>
      <family val="2"/>
      <scheme val="minor"/>
    </font>
    <font>
      <b/>
      <sz val="22"/>
      <color theme="0"/>
      <name val="Calibri"/>
      <family val="2"/>
      <scheme val="minor"/>
    </font>
    <font>
      <b/>
      <sz val="24"/>
      <color theme="1"/>
      <name val="Calibri"/>
      <family val="2"/>
      <scheme val="minor"/>
    </font>
    <font>
      <b/>
      <sz val="13.5"/>
      <color theme="1"/>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bgColor indexed="64"/>
      </patternFill>
    </fill>
    <fill>
      <patternFill patternType="solid">
        <fgColor theme="8"/>
        <bgColor indexed="64"/>
      </patternFill>
    </fill>
    <fill>
      <patternFill patternType="solid">
        <fgColor theme="6" tint="0.39997558519241921"/>
        <bgColor indexed="64"/>
      </patternFill>
    </fill>
    <fill>
      <patternFill patternType="solid">
        <fgColor theme="7"/>
        <bgColor indexed="64"/>
      </patternFill>
    </fill>
    <fill>
      <patternFill patternType="solid">
        <fgColor theme="8" tint="0.79998168889431442"/>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76">
    <xf numFmtId="0" fontId="0" fillId="0" borderId="0" xfId="0"/>
    <xf numFmtId="0" fontId="0" fillId="0" borderId="1" xfId="0"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0" fillId="0" borderId="2" xfId="0"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0" fillId="0" borderId="7" xfId="0" applyBorder="1" applyAlignment="1">
      <alignment wrapText="1"/>
    </xf>
    <xf numFmtId="14" fontId="0" fillId="0" borderId="8" xfId="0" applyNumberFormat="1" applyBorder="1" applyAlignment="1">
      <alignment horizontal="right" wrapText="1"/>
    </xf>
    <xf numFmtId="0" fontId="0" fillId="0" borderId="8" xfId="0" applyBorder="1" applyAlignment="1">
      <alignment wrapText="1"/>
    </xf>
    <xf numFmtId="0" fontId="0" fillId="0" borderId="8" xfId="0" applyBorder="1" applyAlignment="1">
      <alignment horizontal="right" wrapText="1"/>
    </xf>
    <xf numFmtId="0" fontId="0" fillId="0" borderId="5" xfId="0" applyBorder="1" applyAlignment="1">
      <alignment wrapText="1"/>
    </xf>
    <xf numFmtId="2" fontId="2" fillId="0" borderId="5" xfId="0" applyNumberFormat="1" applyFont="1" applyBorder="1" applyAlignment="1">
      <alignment wrapText="1"/>
    </xf>
    <xf numFmtId="2" fontId="0" fillId="0" borderId="5" xfId="0" applyNumberFormat="1" applyBorder="1" applyAlignment="1">
      <alignment wrapText="1"/>
    </xf>
    <xf numFmtId="2" fontId="0" fillId="0" borderId="0" xfId="0" applyNumberFormat="1"/>
    <xf numFmtId="164" fontId="0" fillId="0" borderId="0" xfId="0" applyNumberFormat="1"/>
    <xf numFmtId="164" fontId="0" fillId="0" borderId="5" xfId="0" applyNumberFormat="1" applyBorder="1" applyAlignment="1">
      <alignment wrapText="1"/>
    </xf>
    <xf numFmtId="164" fontId="0" fillId="0" borderId="1" xfId="0" applyNumberFormat="1" applyBorder="1" applyAlignment="1">
      <alignment wrapText="1"/>
    </xf>
    <xf numFmtId="164" fontId="0" fillId="0" borderId="8" xfId="0" applyNumberFormat="1" applyBorder="1" applyAlignment="1">
      <alignment wrapText="1"/>
    </xf>
    <xf numFmtId="22" fontId="0" fillId="0" borderId="5" xfId="0" applyNumberFormat="1" applyBorder="1" applyAlignment="1">
      <alignment wrapText="1"/>
    </xf>
    <xf numFmtId="22" fontId="0" fillId="0" borderId="1" xfId="0" applyNumberFormat="1" applyBorder="1" applyAlignment="1">
      <alignment wrapText="1"/>
    </xf>
    <xf numFmtId="22" fontId="0" fillId="0" borderId="8" xfId="0" applyNumberFormat="1" applyBorder="1" applyAlignment="1">
      <alignment wrapText="1"/>
    </xf>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2" fillId="3"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0" fillId="3" borderId="10" xfId="0" applyFill="1" applyBorder="1" applyAlignment="1">
      <alignment vertical="center" wrapText="1"/>
    </xf>
    <xf numFmtId="0" fontId="0" fillId="4" borderId="10" xfId="0" applyFill="1" applyBorder="1" applyAlignment="1">
      <alignment vertical="center" wrapText="1"/>
    </xf>
    <xf numFmtId="165" fontId="0" fillId="4" borderId="10" xfId="1" applyNumberFormat="1" applyFont="1" applyFill="1" applyBorder="1" applyAlignment="1">
      <alignment vertical="center" wrapText="1"/>
    </xf>
    <xf numFmtId="0" fontId="2" fillId="5" borderId="10" xfId="0" applyFont="1" applyFill="1" applyBorder="1" applyAlignment="1">
      <alignment horizontal="center" vertical="center" wrapText="1"/>
    </xf>
    <xf numFmtId="0" fontId="2" fillId="5" borderId="10" xfId="0" applyFont="1" applyFill="1" applyBorder="1" applyAlignment="1">
      <alignment vertical="center" wrapText="1"/>
    </xf>
    <xf numFmtId="0" fontId="0" fillId="6" borderId="10" xfId="0" applyFill="1" applyBorder="1" applyAlignment="1">
      <alignment vertical="center" wrapText="1"/>
    </xf>
    <xf numFmtId="0" fontId="0" fillId="6" borderId="10" xfId="0" applyFill="1" applyBorder="1"/>
    <xf numFmtId="0" fontId="0" fillId="0" borderId="10" xfId="0" applyBorder="1"/>
    <xf numFmtId="0" fontId="0" fillId="0" borderId="0" xfId="0" applyAlignment="1">
      <alignment horizontal="right" vertical="center" wrapText="1"/>
    </xf>
    <xf numFmtId="0" fontId="2" fillId="0" borderId="0" xfId="0" applyFont="1" applyAlignment="1">
      <alignment horizontal="right" vertical="center" wrapText="1"/>
    </xf>
    <xf numFmtId="0" fontId="2" fillId="7" borderId="10" xfId="0" applyFont="1" applyFill="1" applyBorder="1" applyAlignment="1">
      <alignment horizontal="center" vertical="center" wrapText="1"/>
    </xf>
    <xf numFmtId="49" fontId="2" fillId="0" borderId="5" xfId="0" applyNumberFormat="1" applyFont="1" applyBorder="1" applyAlignment="1">
      <alignment wrapText="1"/>
    </xf>
    <xf numFmtId="49" fontId="0" fillId="0" borderId="1" xfId="0" applyNumberFormat="1" applyBorder="1" applyAlignment="1">
      <alignment wrapText="1"/>
    </xf>
    <xf numFmtId="49" fontId="0" fillId="0" borderId="8" xfId="0" applyNumberFormat="1" applyBorder="1" applyAlignment="1">
      <alignment wrapText="1"/>
    </xf>
    <xf numFmtId="49" fontId="0" fillId="0" borderId="0" xfId="0" applyNumberFormat="1"/>
    <xf numFmtId="0" fontId="2" fillId="0" borderId="6" xfId="0" applyFont="1" applyBorder="1" applyAlignment="1">
      <alignment wrapText="1"/>
    </xf>
    <xf numFmtId="0" fontId="0" fillId="0" borderId="3" xfId="0" applyBorder="1" applyAlignment="1">
      <alignment horizontal="right" wrapText="1"/>
    </xf>
    <xf numFmtId="0" fontId="0" fillId="0" borderId="9" xfId="0" applyBorder="1" applyAlignment="1">
      <alignment horizontal="right" wrapText="1"/>
    </xf>
    <xf numFmtId="0" fontId="5" fillId="0" borderId="13" xfId="0" applyFont="1" applyBorder="1" applyAlignment="1">
      <alignment horizontal="centerContinuous"/>
    </xf>
    <xf numFmtId="0" fontId="0" fillId="0" borderId="14" xfId="0" applyBorder="1"/>
    <xf numFmtId="0" fontId="5" fillId="0" borderId="13" xfId="0" applyFont="1" applyBorder="1" applyAlignment="1">
      <alignment horizontal="center"/>
    </xf>
    <xf numFmtId="0" fontId="0" fillId="0" borderId="0" xfId="0" pivotButton="1"/>
    <xf numFmtId="167" fontId="0" fillId="0" borderId="0" xfId="0" applyNumberFormat="1"/>
    <xf numFmtId="166" fontId="0" fillId="0" borderId="0" xfId="0" applyNumberFormat="1"/>
    <xf numFmtId="0" fontId="0" fillId="0" borderId="0" xfId="0" pivotButton="1" applyAlignment="1">
      <alignment horizontal="center"/>
    </xf>
    <xf numFmtId="0" fontId="2" fillId="0" borderId="0" xfId="0" applyFont="1"/>
    <xf numFmtId="168" fontId="0" fillId="0" borderId="0" xfId="0" applyNumberFormat="1"/>
    <xf numFmtId="169" fontId="0" fillId="0" borderId="0" xfId="0" applyNumberFormat="1"/>
    <xf numFmtId="0" fontId="2" fillId="13" borderId="10" xfId="0" applyFont="1" applyFill="1" applyBorder="1"/>
    <xf numFmtId="0" fontId="8"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9" fillId="0" borderId="0" xfId="0" applyFont="1" applyAlignment="1">
      <alignment vertical="center"/>
    </xf>
    <xf numFmtId="0" fontId="7" fillId="2" borderId="10" xfId="0" applyFont="1" applyFill="1" applyBorder="1" applyAlignment="1">
      <alignment horizontal="center" vertical="center"/>
    </xf>
    <xf numFmtId="0" fontId="2" fillId="10" borderId="10" xfId="0" applyFont="1" applyFill="1" applyBorder="1" applyAlignment="1">
      <alignment horizontal="center"/>
    </xf>
    <xf numFmtId="0" fontId="2" fillId="13" borderId="10" xfId="0" applyFont="1" applyFill="1" applyBorder="1" applyAlignment="1">
      <alignment horizontal="center"/>
    </xf>
    <xf numFmtId="0" fontId="2" fillId="11" borderId="10" xfId="0" applyFont="1" applyFill="1" applyBorder="1" applyAlignment="1">
      <alignment horizontal="center"/>
    </xf>
    <xf numFmtId="0" fontId="2" fillId="12" borderId="10" xfId="0" applyFont="1" applyFill="1" applyBorder="1" applyAlignment="1">
      <alignment horizontal="center"/>
    </xf>
    <xf numFmtId="0" fontId="2" fillId="13" borderId="11" xfId="0" applyFont="1" applyFill="1" applyBorder="1" applyAlignment="1">
      <alignment horizontal="center"/>
    </xf>
    <xf numFmtId="0" fontId="2" fillId="13" borderId="12" xfId="0" applyFont="1" applyFill="1" applyBorder="1" applyAlignment="1">
      <alignment horizontal="center"/>
    </xf>
    <xf numFmtId="169" fontId="2" fillId="8" borderId="11" xfId="0" applyNumberFormat="1" applyFont="1" applyFill="1" applyBorder="1" applyAlignment="1">
      <alignment horizontal="center"/>
    </xf>
    <xf numFmtId="169" fontId="2" fillId="8" borderId="12" xfId="0" applyNumberFormat="1" applyFont="1" applyFill="1" applyBorder="1" applyAlignment="1">
      <alignment horizontal="center"/>
    </xf>
    <xf numFmtId="0" fontId="2" fillId="9" borderId="10" xfId="0" applyFont="1" applyFill="1" applyBorder="1" applyAlignment="1">
      <alignment horizontal="center" vertical="center"/>
    </xf>
    <xf numFmtId="0" fontId="4" fillId="2" borderId="0" xfId="0" applyFont="1" applyFill="1" applyAlignment="1">
      <alignment horizontal="center" vertical="center"/>
    </xf>
    <xf numFmtId="0" fontId="2" fillId="7" borderId="10" xfId="0" applyFont="1" applyFill="1" applyBorder="1" applyAlignment="1">
      <alignment horizontal="center"/>
    </xf>
    <xf numFmtId="0" fontId="2" fillId="7" borderId="11" xfId="0" applyFont="1" applyFill="1" applyBorder="1" applyAlignment="1">
      <alignment horizontal="center"/>
    </xf>
    <xf numFmtId="0" fontId="2" fillId="7" borderId="12" xfId="0" applyFont="1" applyFill="1" applyBorder="1" applyAlignment="1">
      <alignment horizontal="center"/>
    </xf>
    <xf numFmtId="0" fontId="2" fillId="0" borderId="0" xfId="0" applyFont="1" applyAlignment="1">
      <alignment horizontal="center"/>
    </xf>
    <xf numFmtId="0" fontId="6" fillId="2" borderId="0" xfId="0" applyFont="1" applyFill="1" applyAlignment="1">
      <alignment horizontal="center"/>
    </xf>
  </cellXfs>
  <cellStyles count="2">
    <cellStyle name="Currency" xfId="1" builtinId="4"/>
    <cellStyle name="Normal" xfId="0" builtinId="0"/>
  </cellStyles>
  <dxfs count="42">
    <dxf>
      <fill>
        <patternFill>
          <bgColor theme="7" tint="0.59996337778862885"/>
        </patternFill>
      </fill>
    </dxf>
    <dxf>
      <font>
        <color theme="0"/>
      </font>
      <fill>
        <patternFill>
          <bgColor theme="9" tint="-0.24994659260841701"/>
        </patternFill>
      </fill>
    </dxf>
    <dxf>
      <numFmt numFmtId="168" formatCode="[$₹-4009]\ #,##0.00"/>
    </dxf>
    <dxf>
      <alignment horizontal="center"/>
    </dxf>
    <dxf>
      <numFmt numFmtId="166" formatCode="_-[$₹-44C]* #,##0.00_-;\-[$₹-44C]* #,##0.00_-;_-[$₹-44C]* &quot;-&quot;??_-;_-@_-"/>
    </dxf>
    <dxf>
      <alignment horizontal="center"/>
    </dxf>
    <dxf>
      <numFmt numFmtId="168" formatCode="[$₹-4009]\ #,##0.00"/>
    </dxf>
    <dxf>
      <alignment horizontal="center"/>
    </dxf>
    <dxf>
      <numFmt numFmtId="167" formatCode="[$₹-447]#,##0.00"/>
    </dxf>
    <dxf>
      <alignment horizontal="center"/>
    </dxf>
    <dxf>
      <numFmt numFmtId="168" formatCode="[$₹-4009]\ #,##0.00"/>
    </dxf>
    <dxf>
      <alignment horizontal="center"/>
    </dxf>
    <dxf>
      <numFmt numFmtId="169" formatCode="_ [$₹-4009]\ * #,##0.00_ ;_ [$₹-4009]\ * \-#,##0.00_ ;_ [$₹-4009]\ * &quot;-&quot;??_ ;_ @_ "/>
    </dxf>
    <dxf>
      <numFmt numFmtId="170" formatCode="_-[$₹-458]* #,##0.00_-;\-[$₹-458]* #,##0.00_-;_-[$₹-458]* &quot;-&quot;??_-;_-@_-"/>
    </dxf>
    <dxf>
      <alignment horizontal="center"/>
    </dxf>
    <dxf>
      <alignment horizontal="center"/>
    </dxf>
    <dxf>
      <numFmt numFmtId="27" formatCode="m/d/yyyy\ h:mm"/>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numFmt numFmtId="0" formatCode="General"/>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30" formatCode="@"/>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PivotTable Style 9" table="0" count="0" xr9:uid="{DD4D5AA9-AC9E-457E-B381-23BA9AB0479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Quantity  Residual 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Raw_Data!$H$2:$H$251</c:f>
              <c:numCache>
                <c:formatCode>General</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[1]Sheet1!$C$25:$C$274</c:f>
              <c:numCache>
                <c:formatCode>General</c:formatCode>
                <c:ptCount val="250"/>
                <c:pt idx="0">
                  <c:v>-162.55436394854553</c:v>
                </c:pt>
                <c:pt idx="1">
                  <c:v>-162.55436394854553</c:v>
                </c:pt>
                <c:pt idx="2">
                  <c:v>-732.55436394854553</c:v>
                </c:pt>
                <c:pt idx="3">
                  <c:v>-732.55436394854553</c:v>
                </c:pt>
                <c:pt idx="4">
                  <c:v>-870.16037252452202</c:v>
                </c:pt>
                <c:pt idx="5">
                  <c:v>-438.75135966055734</c:v>
                </c:pt>
                <c:pt idx="6">
                  <c:v>-870.16037252452202</c:v>
                </c:pt>
                <c:pt idx="7">
                  <c:v>-732.55436394854553</c:v>
                </c:pt>
                <c:pt idx="8">
                  <c:v>1787.4456360514541</c:v>
                </c:pt>
                <c:pt idx="9">
                  <c:v>-732.55436394854553</c:v>
                </c:pt>
                <c:pt idx="10">
                  <c:v>-54.948355372569154</c:v>
                </c:pt>
                <c:pt idx="11">
                  <c:v>-870.16037252452202</c:v>
                </c:pt>
                <c:pt idx="12">
                  <c:v>-462.55436394854553</c:v>
                </c:pt>
                <c:pt idx="13">
                  <c:v>-732.55436394854553</c:v>
                </c:pt>
                <c:pt idx="14">
                  <c:v>1187.4456360514541</c:v>
                </c:pt>
                <c:pt idx="15">
                  <c:v>695.05164462743085</c:v>
                </c:pt>
                <c:pt idx="16">
                  <c:v>-666.3573682365336</c:v>
                </c:pt>
                <c:pt idx="17">
                  <c:v>841.24864033944266</c:v>
                </c:pt>
                <c:pt idx="18">
                  <c:v>2333.6426317634664</c:v>
                </c:pt>
                <c:pt idx="19">
                  <c:v>-162.55436394854553</c:v>
                </c:pt>
                <c:pt idx="20">
                  <c:v>1879.8396274754778</c:v>
                </c:pt>
                <c:pt idx="21">
                  <c:v>1533.6426317634664</c:v>
                </c:pt>
                <c:pt idx="22">
                  <c:v>-266.3573682365336</c:v>
                </c:pt>
                <c:pt idx="23">
                  <c:v>-66.357368236533603</c:v>
                </c:pt>
                <c:pt idx="24">
                  <c:v>-370.16037252452202</c:v>
                </c:pt>
                <c:pt idx="25">
                  <c:v>-120.16037252452202</c:v>
                </c:pt>
                <c:pt idx="26">
                  <c:v>-672.55436394854553</c:v>
                </c:pt>
                <c:pt idx="27">
                  <c:v>-1170.160372524522</c:v>
                </c:pt>
                <c:pt idx="28">
                  <c:v>-438.75135966055734</c:v>
                </c:pt>
                <c:pt idx="29">
                  <c:v>-1026.3573682365336</c:v>
                </c:pt>
                <c:pt idx="30">
                  <c:v>-620.16037252452202</c:v>
                </c:pt>
                <c:pt idx="31">
                  <c:v>-258.75135966055734</c:v>
                </c:pt>
                <c:pt idx="32">
                  <c:v>-462.55436394854553</c:v>
                </c:pt>
                <c:pt idx="33">
                  <c:v>695.05164462743085</c:v>
                </c:pt>
                <c:pt idx="34">
                  <c:v>-12.554363948545529</c:v>
                </c:pt>
                <c:pt idx="35">
                  <c:v>-672.55436394854553</c:v>
                </c:pt>
                <c:pt idx="36">
                  <c:v>-312.55436394854553</c:v>
                </c:pt>
                <c:pt idx="37">
                  <c:v>1879.8396274754778</c:v>
                </c:pt>
                <c:pt idx="38">
                  <c:v>-642.55436394854553</c:v>
                </c:pt>
                <c:pt idx="39">
                  <c:v>-124.94835537256917</c:v>
                </c:pt>
                <c:pt idx="40">
                  <c:v>-438.75135966055734</c:v>
                </c:pt>
                <c:pt idx="41">
                  <c:v>-114.94835537256917</c:v>
                </c:pt>
                <c:pt idx="42">
                  <c:v>-1170.160372524522</c:v>
                </c:pt>
                <c:pt idx="43">
                  <c:v>-370.16037252452202</c:v>
                </c:pt>
                <c:pt idx="44">
                  <c:v>-114.94835537256917</c:v>
                </c:pt>
                <c:pt idx="45">
                  <c:v>-258.75135966055734</c:v>
                </c:pt>
                <c:pt idx="46">
                  <c:v>-1026.3573682365336</c:v>
                </c:pt>
                <c:pt idx="47">
                  <c:v>-1170.160372524522</c:v>
                </c:pt>
                <c:pt idx="48">
                  <c:v>-378.75135966055734</c:v>
                </c:pt>
                <c:pt idx="49">
                  <c:v>2879.8396274754778</c:v>
                </c:pt>
                <c:pt idx="50">
                  <c:v>2879.8396274754778</c:v>
                </c:pt>
                <c:pt idx="51">
                  <c:v>-144.94835537256915</c:v>
                </c:pt>
                <c:pt idx="52">
                  <c:v>41.248640339442659</c:v>
                </c:pt>
                <c:pt idx="53">
                  <c:v>-906.3573682365336</c:v>
                </c:pt>
                <c:pt idx="54">
                  <c:v>-124.94835537256917</c:v>
                </c:pt>
                <c:pt idx="55">
                  <c:v>-378.75135966055734</c:v>
                </c:pt>
                <c:pt idx="56">
                  <c:v>1187.4456360514541</c:v>
                </c:pt>
                <c:pt idx="57">
                  <c:v>2333.6426317634664</c:v>
                </c:pt>
                <c:pt idx="58">
                  <c:v>-54.948355372569154</c:v>
                </c:pt>
                <c:pt idx="59">
                  <c:v>-378.75135966055734</c:v>
                </c:pt>
                <c:pt idx="60">
                  <c:v>-114.94835537256917</c:v>
                </c:pt>
                <c:pt idx="61">
                  <c:v>-114.94835537256917</c:v>
                </c:pt>
                <c:pt idx="62">
                  <c:v>-1220.160372524522</c:v>
                </c:pt>
                <c:pt idx="63">
                  <c:v>-54.948355372569154</c:v>
                </c:pt>
                <c:pt idx="64">
                  <c:v>841.24864033944266</c:v>
                </c:pt>
                <c:pt idx="65">
                  <c:v>-1170.160372524522</c:v>
                </c:pt>
                <c:pt idx="66">
                  <c:v>-1026.3573682365336</c:v>
                </c:pt>
                <c:pt idx="67">
                  <c:v>-54.948355372569154</c:v>
                </c:pt>
                <c:pt idx="68">
                  <c:v>95.051644627430846</c:v>
                </c:pt>
                <c:pt idx="69">
                  <c:v>-158.75135966055734</c:v>
                </c:pt>
                <c:pt idx="70">
                  <c:v>-732.55436394854553</c:v>
                </c:pt>
                <c:pt idx="71">
                  <c:v>-462.55436394854553</c:v>
                </c:pt>
                <c:pt idx="72">
                  <c:v>-312.55436394854553</c:v>
                </c:pt>
                <c:pt idx="73">
                  <c:v>695.05164462743085</c:v>
                </c:pt>
                <c:pt idx="74">
                  <c:v>2879.8396274754778</c:v>
                </c:pt>
                <c:pt idx="75">
                  <c:v>-438.75135966055734</c:v>
                </c:pt>
                <c:pt idx="76">
                  <c:v>-266.3573682365336</c:v>
                </c:pt>
                <c:pt idx="77">
                  <c:v>-58.751359660557341</c:v>
                </c:pt>
                <c:pt idx="78">
                  <c:v>95.051644627430846</c:v>
                </c:pt>
                <c:pt idx="79">
                  <c:v>-378.75135966055734</c:v>
                </c:pt>
                <c:pt idx="80">
                  <c:v>-12.554363948545529</c:v>
                </c:pt>
                <c:pt idx="81">
                  <c:v>841.24864033944266</c:v>
                </c:pt>
                <c:pt idx="82">
                  <c:v>2333.6426317634664</c:v>
                </c:pt>
                <c:pt idx="83">
                  <c:v>-258.75135966055734</c:v>
                </c:pt>
                <c:pt idx="84">
                  <c:v>-258.75135966055734</c:v>
                </c:pt>
                <c:pt idx="85">
                  <c:v>-114.94835537256917</c:v>
                </c:pt>
                <c:pt idx="86">
                  <c:v>-120.16037252452202</c:v>
                </c:pt>
                <c:pt idx="87">
                  <c:v>-666.3573682365336</c:v>
                </c:pt>
                <c:pt idx="88">
                  <c:v>-370.16037252452202</c:v>
                </c:pt>
                <c:pt idx="89">
                  <c:v>-162.55436394854553</c:v>
                </c:pt>
                <c:pt idx="90">
                  <c:v>-466.3573682365336</c:v>
                </c:pt>
                <c:pt idx="91">
                  <c:v>-620.16037252452202</c:v>
                </c:pt>
                <c:pt idx="92">
                  <c:v>-378.75135966055734</c:v>
                </c:pt>
                <c:pt idx="93">
                  <c:v>2879.8396274754778</c:v>
                </c:pt>
                <c:pt idx="94">
                  <c:v>-462.55436394854553</c:v>
                </c:pt>
                <c:pt idx="95">
                  <c:v>-870.16037252452202</c:v>
                </c:pt>
                <c:pt idx="96">
                  <c:v>-672.55436394854553</c:v>
                </c:pt>
                <c:pt idx="97">
                  <c:v>-58.751359660557341</c:v>
                </c:pt>
                <c:pt idx="98">
                  <c:v>495.05164462743085</c:v>
                </c:pt>
                <c:pt idx="99">
                  <c:v>-462.55436394854553</c:v>
                </c:pt>
                <c:pt idx="100">
                  <c:v>841.24864033944266</c:v>
                </c:pt>
                <c:pt idx="101">
                  <c:v>45.051644627430846</c:v>
                </c:pt>
                <c:pt idx="102">
                  <c:v>45.051644627430846</c:v>
                </c:pt>
                <c:pt idx="103">
                  <c:v>841.24864033944266</c:v>
                </c:pt>
                <c:pt idx="104">
                  <c:v>-732.55436394854553</c:v>
                </c:pt>
                <c:pt idx="105">
                  <c:v>-732.55436394854553</c:v>
                </c:pt>
                <c:pt idx="106">
                  <c:v>-946.3573682365336</c:v>
                </c:pt>
                <c:pt idx="107">
                  <c:v>-124.94835537256917</c:v>
                </c:pt>
                <c:pt idx="108">
                  <c:v>-12.554363948545529</c:v>
                </c:pt>
                <c:pt idx="109">
                  <c:v>-378.75135966055734</c:v>
                </c:pt>
                <c:pt idx="110">
                  <c:v>-666.3573682365336</c:v>
                </c:pt>
                <c:pt idx="111">
                  <c:v>-58.751359660557341</c:v>
                </c:pt>
                <c:pt idx="112">
                  <c:v>-466.3573682365336</c:v>
                </c:pt>
                <c:pt idx="113">
                  <c:v>-1170.160372524522</c:v>
                </c:pt>
                <c:pt idx="114">
                  <c:v>-54.948355372569154</c:v>
                </c:pt>
                <c:pt idx="115">
                  <c:v>1533.6426317634664</c:v>
                </c:pt>
                <c:pt idx="116">
                  <c:v>1787.4456360514541</c:v>
                </c:pt>
                <c:pt idx="117">
                  <c:v>-462.55436394854553</c:v>
                </c:pt>
                <c:pt idx="118">
                  <c:v>41.248640339442659</c:v>
                </c:pt>
                <c:pt idx="119">
                  <c:v>-4.9483553725691536</c:v>
                </c:pt>
                <c:pt idx="120">
                  <c:v>-66.357368236533603</c:v>
                </c:pt>
                <c:pt idx="121">
                  <c:v>-438.75135966055734</c:v>
                </c:pt>
                <c:pt idx="122">
                  <c:v>-666.3573682365336</c:v>
                </c:pt>
                <c:pt idx="123">
                  <c:v>841.24864033944266</c:v>
                </c:pt>
                <c:pt idx="124">
                  <c:v>-462.55436394854553</c:v>
                </c:pt>
                <c:pt idx="125">
                  <c:v>-12.554363948545529</c:v>
                </c:pt>
                <c:pt idx="126">
                  <c:v>1787.4456360514541</c:v>
                </c:pt>
                <c:pt idx="127">
                  <c:v>1879.8396274754778</c:v>
                </c:pt>
                <c:pt idx="128">
                  <c:v>1533.6426317634664</c:v>
                </c:pt>
                <c:pt idx="129">
                  <c:v>695.05164462743085</c:v>
                </c:pt>
                <c:pt idx="130">
                  <c:v>-258.75135966055734</c:v>
                </c:pt>
                <c:pt idx="131">
                  <c:v>-642.55436394854553</c:v>
                </c:pt>
                <c:pt idx="132">
                  <c:v>-258.75135966055734</c:v>
                </c:pt>
                <c:pt idx="133">
                  <c:v>841.24864033944266</c:v>
                </c:pt>
                <c:pt idx="134">
                  <c:v>1879.8396274754778</c:v>
                </c:pt>
                <c:pt idx="135">
                  <c:v>-642.55436394854553</c:v>
                </c:pt>
                <c:pt idx="136">
                  <c:v>-370.16037252452202</c:v>
                </c:pt>
                <c:pt idx="137">
                  <c:v>-12.554363948545529</c:v>
                </c:pt>
                <c:pt idx="138">
                  <c:v>-642.55436394854553</c:v>
                </c:pt>
                <c:pt idx="139">
                  <c:v>-258.75135966055734</c:v>
                </c:pt>
                <c:pt idx="140">
                  <c:v>45.051644627430846</c:v>
                </c:pt>
                <c:pt idx="141">
                  <c:v>-462.55436394854553</c:v>
                </c:pt>
                <c:pt idx="142">
                  <c:v>-1320.160372524522</c:v>
                </c:pt>
                <c:pt idx="143">
                  <c:v>-266.3573682365336</c:v>
                </c:pt>
                <c:pt idx="144">
                  <c:v>-870.16037252452202</c:v>
                </c:pt>
                <c:pt idx="145">
                  <c:v>-732.55436394854553</c:v>
                </c:pt>
                <c:pt idx="146">
                  <c:v>-870.16037252452202</c:v>
                </c:pt>
                <c:pt idx="147">
                  <c:v>841.24864033944266</c:v>
                </c:pt>
                <c:pt idx="148">
                  <c:v>-466.3573682365336</c:v>
                </c:pt>
                <c:pt idx="149">
                  <c:v>-144.94835537256915</c:v>
                </c:pt>
                <c:pt idx="150">
                  <c:v>1187.4456360514541</c:v>
                </c:pt>
                <c:pt idx="151">
                  <c:v>-370.16037252452202</c:v>
                </c:pt>
                <c:pt idx="152">
                  <c:v>-258.75135966055734</c:v>
                </c:pt>
                <c:pt idx="153">
                  <c:v>-12.554363948545529</c:v>
                </c:pt>
                <c:pt idx="154">
                  <c:v>-370.16037252452202</c:v>
                </c:pt>
                <c:pt idx="155">
                  <c:v>-258.75135966055734</c:v>
                </c:pt>
                <c:pt idx="156">
                  <c:v>1879.8396274754778</c:v>
                </c:pt>
                <c:pt idx="157">
                  <c:v>-266.3573682365336</c:v>
                </c:pt>
                <c:pt idx="158">
                  <c:v>1533.6426317634664</c:v>
                </c:pt>
                <c:pt idx="159">
                  <c:v>-58.751359660557341</c:v>
                </c:pt>
                <c:pt idx="160">
                  <c:v>-732.55436394854553</c:v>
                </c:pt>
                <c:pt idx="161">
                  <c:v>-946.3573682365336</c:v>
                </c:pt>
                <c:pt idx="162">
                  <c:v>-672.55436394854553</c:v>
                </c:pt>
                <c:pt idx="163">
                  <c:v>1241.2486403394428</c:v>
                </c:pt>
                <c:pt idx="164">
                  <c:v>-54.948355372569154</c:v>
                </c:pt>
                <c:pt idx="165">
                  <c:v>41.248640339442659</c:v>
                </c:pt>
                <c:pt idx="166">
                  <c:v>-438.75135966055734</c:v>
                </c:pt>
                <c:pt idx="167">
                  <c:v>-114.94835537256917</c:v>
                </c:pt>
                <c:pt idx="168">
                  <c:v>2879.8396274754778</c:v>
                </c:pt>
                <c:pt idx="169">
                  <c:v>-258.75135966055734</c:v>
                </c:pt>
                <c:pt idx="170">
                  <c:v>-258.75135966055734</c:v>
                </c:pt>
                <c:pt idx="171">
                  <c:v>-462.55436394854553</c:v>
                </c:pt>
                <c:pt idx="172">
                  <c:v>41.248640339442659</c:v>
                </c:pt>
                <c:pt idx="173">
                  <c:v>41.248640339442659</c:v>
                </c:pt>
                <c:pt idx="174">
                  <c:v>-466.3573682365336</c:v>
                </c:pt>
                <c:pt idx="175">
                  <c:v>-114.94835537256917</c:v>
                </c:pt>
                <c:pt idx="176">
                  <c:v>-870.16037252452202</c:v>
                </c:pt>
                <c:pt idx="177">
                  <c:v>695.05164462743085</c:v>
                </c:pt>
                <c:pt idx="178">
                  <c:v>-378.75135966055734</c:v>
                </c:pt>
                <c:pt idx="179">
                  <c:v>695.05164462743085</c:v>
                </c:pt>
                <c:pt idx="180">
                  <c:v>-870.16037252452202</c:v>
                </c:pt>
                <c:pt idx="181">
                  <c:v>-12.554363948545529</c:v>
                </c:pt>
                <c:pt idx="182">
                  <c:v>1187.4456360514541</c:v>
                </c:pt>
                <c:pt idx="183">
                  <c:v>-620.16037252452202</c:v>
                </c:pt>
                <c:pt idx="184">
                  <c:v>-370.16037252452202</c:v>
                </c:pt>
                <c:pt idx="185">
                  <c:v>-666.3573682365336</c:v>
                </c:pt>
                <c:pt idx="186">
                  <c:v>1187.4456360514541</c:v>
                </c:pt>
                <c:pt idx="187">
                  <c:v>-124.94835537256917</c:v>
                </c:pt>
                <c:pt idx="188">
                  <c:v>95.051644627430846</c:v>
                </c:pt>
                <c:pt idx="189">
                  <c:v>-266.3573682365336</c:v>
                </c:pt>
                <c:pt idx="190">
                  <c:v>-258.75135966055734</c:v>
                </c:pt>
                <c:pt idx="191">
                  <c:v>-12.554363948545529</c:v>
                </c:pt>
                <c:pt idx="192">
                  <c:v>-466.3573682365336</c:v>
                </c:pt>
                <c:pt idx="193">
                  <c:v>-120.16037252452202</c:v>
                </c:pt>
                <c:pt idx="194">
                  <c:v>-462.55436394854553</c:v>
                </c:pt>
                <c:pt idx="195">
                  <c:v>-1320.160372524522</c:v>
                </c:pt>
                <c:pt idx="196">
                  <c:v>-1026.3573682365336</c:v>
                </c:pt>
                <c:pt idx="197">
                  <c:v>-266.3573682365336</c:v>
                </c:pt>
                <c:pt idx="198">
                  <c:v>2333.6426317634664</c:v>
                </c:pt>
                <c:pt idx="199">
                  <c:v>-12.554363948545529</c:v>
                </c:pt>
                <c:pt idx="200">
                  <c:v>841.24864033944266</c:v>
                </c:pt>
                <c:pt idx="201">
                  <c:v>1533.6426317634664</c:v>
                </c:pt>
                <c:pt idx="202">
                  <c:v>-378.75135966055734</c:v>
                </c:pt>
                <c:pt idx="203">
                  <c:v>-642.55436394854553</c:v>
                </c:pt>
                <c:pt idx="204">
                  <c:v>-144.94835537256915</c:v>
                </c:pt>
                <c:pt idx="205">
                  <c:v>-462.55436394854553</c:v>
                </c:pt>
                <c:pt idx="206">
                  <c:v>-120.16037252452202</c:v>
                </c:pt>
                <c:pt idx="207">
                  <c:v>-1320.160372524522</c:v>
                </c:pt>
                <c:pt idx="208">
                  <c:v>-672.55436394854553</c:v>
                </c:pt>
                <c:pt idx="209">
                  <c:v>-312.55436394854553</c:v>
                </c:pt>
                <c:pt idx="210">
                  <c:v>-378.75135966055734</c:v>
                </c:pt>
                <c:pt idx="211">
                  <c:v>-258.75135966055734</c:v>
                </c:pt>
                <c:pt idx="212">
                  <c:v>1879.8396274754778</c:v>
                </c:pt>
                <c:pt idx="213">
                  <c:v>-462.55436394854553</c:v>
                </c:pt>
                <c:pt idx="214">
                  <c:v>1787.4456360514541</c:v>
                </c:pt>
                <c:pt idx="215">
                  <c:v>-312.55436394854553</c:v>
                </c:pt>
                <c:pt idx="216">
                  <c:v>-120.16037252452202</c:v>
                </c:pt>
                <c:pt idx="217">
                  <c:v>495.05164462743085</c:v>
                </c:pt>
                <c:pt idx="218">
                  <c:v>495.05164462743085</c:v>
                </c:pt>
                <c:pt idx="219">
                  <c:v>-666.3573682365336</c:v>
                </c:pt>
                <c:pt idx="220">
                  <c:v>-1170.160372524522</c:v>
                </c:pt>
                <c:pt idx="221">
                  <c:v>-158.75135966055734</c:v>
                </c:pt>
                <c:pt idx="222">
                  <c:v>-1026.3573682365336</c:v>
                </c:pt>
                <c:pt idx="223">
                  <c:v>41.248640339442659</c:v>
                </c:pt>
                <c:pt idx="224">
                  <c:v>-258.75135966055734</c:v>
                </c:pt>
                <c:pt idx="225">
                  <c:v>1879.8396274754778</c:v>
                </c:pt>
                <c:pt idx="226">
                  <c:v>-1320.160372524522</c:v>
                </c:pt>
                <c:pt idx="227">
                  <c:v>-378.75135966055734</c:v>
                </c:pt>
                <c:pt idx="228">
                  <c:v>-370.16037252452202</c:v>
                </c:pt>
                <c:pt idx="229">
                  <c:v>-258.75135966055734</c:v>
                </c:pt>
                <c:pt idx="230">
                  <c:v>2879.8396274754778</c:v>
                </c:pt>
                <c:pt idx="231">
                  <c:v>-666.3573682365336</c:v>
                </c:pt>
                <c:pt idx="232">
                  <c:v>45.051644627430846</c:v>
                </c:pt>
                <c:pt idx="233">
                  <c:v>-438.75135966055734</c:v>
                </c:pt>
                <c:pt idx="234">
                  <c:v>-258.75135966055734</c:v>
                </c:pt>
                <c:pt idx="235">
                  <c:v>1787.4456360514541</c:v>
                </c:pt>
                <c:pt idx="236">
                  <c:v>1787.4456360514541</c:v>
                </c:pt>
                <c:pt idx="237">
                  <c:v>-12.554363948545529</c:v>
                </c:pt>
                <c:pt idx="238">
                  <c:v>-666.3573682365336</c:v>
                </c:pt>
                <c:pt idx="239">
                  <c:v>-946.3573682365336</c:v>
                </c:pt>
                <c:pt idx="240">
                  <c:v>-1170.160372524522</c:v>
                </c:pt>
                <c:pt idx="241">
                  <c:v>-462.55436394854553</c:v>
                </c:pt>
                <c:pt idx="242">
                  <c:v>-378.75135966055734</c:v>
                </c:pt>
                <c:pt idx="243">
                  <c:v>841.24864033944266</c:v>
                </c:pt>
                <c:pt idx="244">
                  <c:v>1787.4456360514541</c:v>
                </c:pt>
                <c:pt idx="245">
                  <c:v>-672.55436394854553</c:v>
                </c:pt>
                <c:pt idx="246">
                  <c:v>-114.94835537256917</c:v>
                </c:pt>
                <c:pt idx="247">
                  <c:v>1187.4456360514541</c:v>
                </c:pt>
                <c:pt idx="248">
                  <c:v>-378.75135966055734</c:v>
                </c:pt>
                <c:pt idx="249">
                  <c:v>-642.55436394854553</c:v>
                </c:pt>
              </c:numCache>
            </c:numRef>
          </c:yVal>
          <c:smooth val="0"/>
          <c:extLst>
            <c:ext xmlns:c16="http://schemas.microsoft.com/office/drawing/2014/chart" uri="{C3380CC4-5D6E-409C-BE32-E72D297353CC}">
              <c16:uniqueId val="{00000000-12FD-48E9-8683-AAFED143D73D}"/>
            </c:ext>
          </c:extLst>
        </c:ser>
        <c:dLbls>
          <c:showLegendKey val="0"/>
          <c:showVal val="0"/>
          <c:showCatName val="0"/>
          <c:showSerName val="0"/>
          <c:showPercent val="0"/>
          <c:showBubbleSize val="0"/>
        </c:dLbls>
        <c:axId val="224424383"/>
        <c:axId val="224427711"/>
      </c:scatterChart>
      <c:valAx>
        <c:axId val="22442438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427711"/>
        <c:crosses val="autoZero"/>
        <c:crossBetween val="midCat"/>
      </c:valAx>
      <c:valAx>
        <c:axId val="22442771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42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Quantity Line Fit  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Total_Amount</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Raw_Data!$H$2:$H$251</c:f>
              <c:numCache>
                <c:formatCode>General</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Raw_Data!$N$2:$N$251</c:f>
              <c:numCache>
                <c:formatCode>General</c:formatCode>
                <c:ptCount val="250"/>
                <c:pt idx="0">
                  <c:v>749.97</c:v>
                </c:pt>
                <c:pt idx="1">
                  <c:v>749.97</c:v>
                </c:pt>
                <c:pt idx="2">
                  <c:v>179.97</c:v>
                </c:pt>
                <c:pt idx="3">
                  <c:v>179.97</c:v>
                </c:pt>
                <c:pt idx="4">
                  <c:v>749.95</c:v>
                </c:pt>
                <c:pt idx="5">
                  <c:v>119.98</c:v>
                </c:pt>
                <c:pt idx="6">
                  <c:v>749.95</c:v>
                </c:pt>
                <c:pt idx="7">
                  <c:v>179.97</c:v>
                </c:pt>
                <c:pt idx="8">
                  <c:v>2699.97</c:v>
                </c:pt>
                <c:pt idx="9">
                  <c:v>179.97</c:v>
                </c:pt>
                <c:pt idx="10">
                  <c:v>149.99</c:v>
                </c:pt>
                <c:pt idx="11">
                  <c:v>749.95</c:v>
                </c:pt>
                <c:pt idx="12">
                  <c:v>449.97</c:v>
                </c:pt>
                <c:pt idx="13">
                  <c:v>179.97</c:v>
                </c:pt>
                <c:pt idx="14">
                  <c:v>2099.9699999999998</c:v>
                </c:pt>
                <c:pt idx="15">
                  <c:v>899.99</c:v>
                </c:pt>
                <c:pt idx="16">
                  <c:v>599.96</c:v>
                </c:pt>
                <c:pt idx="17">
                  <c:v>1399.98</c:v>
                </c:pt>
                <c:pt idx="18">
                  <c:v>3599.96</c:v>
                </c:pt>
                <c:pt idx="19">
                  <c:v>749.97</c:v>
                </c:pt>
                <c:pt idx="20">
                  <c:v>3499.95</c:v>
                </c:pt>
                <c:pt idx="21">
                  <c:v>2799.96</c:v>
                </c:pt>
                <c:pt idx="22">
                  <c:v>999.96</c:v>
                </c:pt>
                <c:pt idx="23">
                  <c:v>1199.96</c:v>
                </c:pt>
                <c:pt idx="24">
                  <c:v>1249.95</c:v>
                </c:pt>
                <c:pt idx="25">
                  <c:v>1499.95</c:v>
                </c:pt>
                <c:pt idx="26">
                  <c:v>239.97</c:v>
                </c:pt>
                <c:pt idx="27">
                  <c:v>449.95</c:v>
                </c:pt>
                <c:pt idx="28">
                  <c:v>119.98</c:v>
                </c:pt>
                <c:pt idx="29">
                  <c:v>239.96</c:v>
                </c:pt>
                <c:pt idx="30">
                  <c:v>999.95</c:v>
                </c:pt>
                <c:pt idx="31">
                  <c:v>299.98</c:v>
                </c:pt>
                <c:pt idx="32">
                  <c:v>449.97</c:v>
                </c:pt>
                <c:pt idx="33">
                  <c:v>899.99</c:v>
                </c:pt>
                <c:pt idx="34">
                  <c:v>899.97</c:v>
                </c:pt>
                <c:pt idx="35">
                  <c:v>239.97</c:v>
                </c:pt>
                <c:pt idx="36">
                  <c:v>599.97</c:v>
                </c:pt>
                <c:pt idx="37">
                  <c:v>3499.95</c:v>
                </c:pt>
                <c:pt idx="38">
                  <c:v>269.97000000000003</c:v>
                </c:pt>
                <c:pt idx="39">
                  <c:v>79.989999999999995</c:v>
                </c:pt>
                <c:pt idx="40">
                  <c:v>119.98</c:v>
                </c:pt>
                <c:pt idx="41">
                  <c:v>89.99</c:v>
                </c:pt>
                <c:pt idx="42">
                  <c:v>449.95</c:v>
                </c:pt>
                <c:pt idx="43">
                  <c:v>1249.95</c:v>
                </c:pt>
                <c:pt idx="44">
                  <c:v>89.99</c:v>
                </c:pt>
                <c:pt idx="45">
                  <c:v>299.98</c:v>
                </c:pt>
                <c:pt idx="46">
                  <c:v>239.96</c:v>
                </c:pt>
                <c:pt idx="47">
                  <c:v>449.95</c:v>
                </c:pt>
                <c:pt idx="48">
                  <c:v>179.98</c:v>
                </c:pt>
                <c:pt idx="49">
                  <c:v>4499.95</c:v>
                </c:pt>
                <c:pt idx="50">
                  <c:v>4499.95</c:v>
                </c:pt>
                <c:pt idx="51">
                  <c:v>59.99</c:v>
                </c:pt>
                <c:pt idx="52">
                  <c:v>599.98</c:v>
                </c:pt>
                <c:pt idx="53">
                  <c:v>359.96</c:v>
                </c:pt>
                <c:pt idx="54">
                  <c:v>79.989999999999995</c:v>
                </c:pt>
                <c:pt idx="55">
                  <c:v>179.98</c:v>
                </c:pt>
                <c:pt idx="56">
                  <c:v>2099.9699999999998</c:v>
                </c:pt>
                <c:pt idx="57">
                  <c:v>3599.96</c:v>
                </c:pt>
                <c:pt idx="58">
                  <c:v>149.99</c:v>
                </c:pt>
                <c:pt idx="59">
                  <c:v>179.98</c:v>
                </c:pt>
                <c:pt idx="60">
                  <c:v>89.99</c:v>
                </c:pt>
                <c:pt idx="61">
                  <c:v>89.99</c:v>
                </c:pt>
                <c:pt idx="62">
                  <c:v>399.95</c:v>
                </c:pt>
                <c:pt idx="63">
                  <c:v>149.99</c:v>
                </c:pt>
                <c:pt idx="64">
                  <c:v>1399.98</c:v>
                </c:pt>
                <c:pt idx="65">
                  <c:v>449.95</c:v>
                </c:pt>
                <c:pt idx="66">
                  <c:v>239.96</c:v>
                </c:pt>
                <c:pt idx="67">
                  <c:v>149.99</c:v>
                </c:pt>
                <c:pt idx="68">
                  <c:v>299.99</c:v>
                </c:pt>
                <c:pt idx="69">
                  <c:v>399.98</c:v>
                </c:pt>
                <c:pt idx="70">
                  <c:v>179.97</c:v>
                </c:pt>
                <c:pt idx="71">
                  <c:v>449.97</c:v>
                </c:pt>
                <c:pt idx="72">
                  <c:v>599.97</c:v>
                </c:pt>
                <c:pt idx="73">
                  <c:v>899.99</c:v>
                </c:pt>
                <c:pt idx="74">
                  <c:v>4499.95</c:v>
                </c:pt>
                <c:pt idx="75">
                  <c:v>119.98</c:v>
                </c:pt>
                <c:pt idx="76">
                  <c:v>999.96</c:v>
                </c:pt>
                <c:pt idx="77">
                  <c:v>499.98</c:v>
                </c:pt>
                <c:pt idx="78">
                  <c:v>299.99</c:v>
                </c:pt>
                <c:pt idx="79">
                  <c:v>179.98</c:v>
                </c:pt>
                <c:pt idx="80">
                  <c:v>899.97</c:v>
                </c:pt>
                <c:pt idx="81">
                  <c:v>1399.98</c:v>
                </c:pt>
                <c:pt idx="82">
                  <c:v>3599.96</c:v>
                </c:pt>
                <c:pt idx="83">
                  <c:v>299.98</c:v>
                </c:pt>
                <c:pt idx="84">
                  <c:v>299.98</c:v>
                </c:pt>
                <c:pt idx="85">
                  <c:v>89.99</c:v>
                </c:pt>
                <c:pt idx="86">
                  <c:v>1499.95</c:v>
                </c:pt>
                <c:pt idx="87">
                  <c:v>599.96</c:v>
                </c:pt>
                <c:pt idx="88">
                  <c:v>1249.95</c:v>
                </c:pt>
                <c:pt idx="89">
                  <c:v>749.97</c:v>
                </c:pt>
                <c:pt idx="90">
                  <c:v>799.96</c:v>
                </c:pt>
                <c:pt idx="91">
                  <c:v>999.95</c:v>
                </c:pt>
                <c:pt idx="92">
                  <c:v>179.98</c:v>
                </c:pt>
                <c:pt idx="93">
                  <c:v>4499.95</c:v>
                </c:pt>
                <c:pt idx="94">
                  <c:v>449.97</c:v>
                </c:pt>
                <c:pt idx="95">
                  <c:v>749.95</c:v>
                </c:pt>
                <c:pt idx="96">
                  <c:v>239.97</c:v>
                </c:pt>
                <c:pt idx="97">
                  <c:v>499.98</c:v>
                </c:pt>
                <c:pt idx="98">
                  <c:v>699.99</c:v>
                </c:pt>
                <c:pt idx="99">
                  <c:v>449.97</c:v>
                </c:pt>
                <c:pt idx="100">
                  <c:v>1399.98</c:v>
                </c:pt>
                <c:pt idx="101">
                  <c:v>249.99</c:v>
                </c:pt>
                <c:pt idx="102">
                  <c:v>249.99</c:v>
                </c:pt>
                <c:pt idx="103">
                  <c:v>1399.98</c:v>
                </c:pt>
                <c:pt idx="104">
                  <c:v>179.97</c:v>
                </c:pt>
                <c:pt idx="105">
                  <c:v>179.97</c:v>
                </c:pt>
                <c:pt idx="106">
                  <c:v>319.95999999999998</c:v>
                </c:pt>
                <c:pt idx="107">
                  <c:v>79.989999999999995</c:v>
                </c:pt>
                <c:pt idx="108">
                  <c:v>899.97</c:v>
                </c:pt>
                <c:pt idx="109">
                  <c:v>179.98</c:v>
                </c:pt>
                <c:pt idx="110">
                  <c:v>599.96</c:v>
                </c:pt>
                <c:pt idx="111">
                  <c:v>499.98</c:v>
                </c:pt>
                <c:pt idx="112">
                  <c:v>799.96</c:v>
                </c:pt>
                <c:pt idx="113">
                  <c:v>449.95</c:v>
                </c:pt>
                <c:pt idx="114">
                  <c:v>149.99</c:v>
                </c:pt>
                <c:pt idx="115">
                  <c:v>2799.96</c:v>
                </c:pt>
                <c:pt idx="116">
                  <c:v>2699.97</c:v>
                </c:pt>
                <c:pt idx="117">
                  <c:v>449.97</c:v>
                </c:pt>
                <c:pt idx="118">
                  <c:v>599.98</c:v>
                </c:pt>
                <c:pt idx="119">
                  <c:v>199.99</c:v>
                </c:pt>
                <c:pt idx="120">
                  <c:v>1199.96</c:v>
                </c:pt>
                <c:pt idx="121">
                  <c:v>119.98</c:v>
                </c:pt>
                <c:pt idx="122">
                  <c:v>599.96</c:v>
                </c:pt>
                <c:pt idx="123">
                  <c:v>1399.98</c:v>
                </c:pt>
                <c:pt idx="124">
                  <c:v>449.97</c:v>
                </c:pt>
                <c:pt idx="125">
                  <c:v>899.97</c:v>
                </c:pt>
                <c:pt idx="126">
                  <c:v>2699.97</c:v>
                </c:pt>
                <c:pt idx="127">
                  <c:v>3499.95</c:v>
                </c:pt>
                <c:pt idx="128">
                  <c:v>2799.96</c:v>
                </c:pt>
                <c:pt idx="129">
                  <c:v>899.99</c:v>
                </c:pt>
                <c:pt idx="130">
                  <c:v>299.98</c:v>
                </c:pt>
                <c:pt idx="131">
                  <c:v>269.97000000000003</c:v>
                </c:pt>
                <c:pt idx="132">
                  <c:v>299.98</c:v>
                </c:pt>
                <c:pt idx="133">
                  <c:v>1399.98</c:v>
                </c:pt>
                <c:pt idx="134">
                  <c:v>3499.95</c:v>
                </c:pt>
                <c:pt idx="135">
                  <c:v>269.97000000000003</c:v>
                </c:pt>
                <c:pt idx="136">
                  <c:v>1249.95</c:v>
                </c:pt>
                <c:pt idx="137">
                  <c:v>899.97</c:v>
                </c:pt>
                <c:pt idx="138">
                  <c:v>269.97000000000003</c:v>
                </c:pt>
                <c:pt idx="139">
                  <c:v>299.98</c:v>
                </c:pt>
                <c:pt idx="140">
                  <c:v>249.99</c:v>
                </c:pt>
                <c:pt idx="141">
                  <c:v>449.97</c:v>
                </c:pt>
                <c:pt idx="142">
                  <c:v>299.95</c:v>
                </c:pt>
                <c:pt idx="143">
                  <c:v>999.96</c:v>
                </c:pt>
                <c:pt idx="144">
                  <c:v>749.95</c:v>
                </c:pt>
                <c:pt idx="145">
                  <c:v>179.97</c:v>
                </c:pt>
                <c:pt idx="146">
                  <c:v>749.95</c:v>
                </c:pt>
                <c:pt idx="147">
                  <c:v>1399.98</c:v>
                </c:pt>
                <c:pt idx="148">
                  <c:v>799.96</c:v>
                </c:pt>
                <c:pt idx="149">
                  <c:v>59.99</c:v>
                </c:pt>
                <c:pt idx="150">
                  <c:v>2099.9699999999998</c:v>
                </c:pt>
                <c:pt idx="151">
                  <c:v>1249.95</c:v>
                </c:pt>
                <c:pt idx="152">
                  <c:v>299.98</c:v>
                </c:pt>
                <c:pt idx="153">
                  <c:v>899.97</c:v>
                </c:pt>
                <c:pt idx="154">
                  <c:v>1249.95</c:v>
                </c:pt>
                <c:pt idx="155">
                  <c:v>299.98</c:v>
                </c:pt>
                <c:pt idx="156">
                  <c:v>3499.95</c:v>
                </c:pt>
                <c:pt idx="157">
                  <c:v>999.96</c:v>
                </c:pt>
                <c:pt idx="158">
                  <c:v>2799.96</c:v>
                </c:pt>
                <c:pt idx="159">
                  <c:v>499.98</c:v>
                </c:pt>
                <c:pt idx="160">
                  <c:v>179.97</c:v>
                </c:pt>
                <c:pt idx="161">
                  <c:v>319.95999999999998</c:v>
                </c:pt>
                <c:pt idx="162">
                  <c:v>239.97</c:v>
                </c:pt>
                <c:pt idx="163">
                  <c:v>1799.98</c:v>
                </c:pt>
                <c:pt idx="164">
                  <c:v>149.99</c:v>
                </c:pt>
                <c:pt idx="165">
                  <c:v>599.98</c:v>
                </c:pt>
                <c:pt idx="166">
                  <c:v>119.98</c:v>
                </c:pt>
                <c:pt idx="167">
                  <c:v>89.99</c:v>
                </c:pt>
                <c:pt idx="168">
                  <c:v>4499.95</c:v>
                </c:pt>
                <c:pt idx="169">
                  <c:v>299.98</c:v>
                </c:pt>
                <c:pt idx="170">
                  <c:v>299.98</c:v>
                </c:pt>
                <c:pt idx="171">
                  <c:v>449.97</c:v>
                </c:pt>
                <c:pt idx="172">
                  <c:v>599.98</c:v>
                </c:pt>
                <c:pt idx="173">
                  <c:v>599.98</c:v>
                </c:pt>
                <c:pt idx="174">
                  <c:v>799.96</c:v>
                </c:pt>
                <c:pt idx="175">
                  <c:v>89.99</c:v>
                </c:pt>
                <c:pt idx="176">
                  <c:v>749.95</c:v>
                </c:pt>
                <c:pt idx="177">
                  <c:v>899.99</c:v>
                </c:pt>
                <c:pt idx="178">
                  <c:v>179.98</c:v>
                </c:pt>
                <c:pt idx="179">
                  <c:v>899.99</c:v>
                </c:pt>
                <c:pt idx="180">
                  <c:v>749.95</c:v>
                </c:pt>
                <c:pt idx="181">
                  <c:v>899.97</c:v>
                </c:pt>
                <c:pt idx="182">
                  <c:v>2099.9699999999998</c:v>
                </c:pt>
                <c:pt idx="183">
                  <c:v>999.95</c:v>
                </c:pt>
                <c:pt idx="184">
                  <c:v>1249.95</c:v>
                </c:pt>
                <c:pt idx="185">
                  <c:v>599.96</c:v>
                </c:pt>
                <c:pt idx="186">
                  <c:v>2099.9699999999998</c:v>
                </c:pt>
                <c:pt idx="187">
                  <c:v>79.989999999999995</c:v>
                </c:pt>
                <c:pt idx="188">
                  <c:v>299.99</c:v>
                </c:pt>
                <c:pt idx="189">
                  <c:v>999.96</c:v>
                </c:pt>
                <c:pt idx="190">
                  <c:v>299.98</c:v>
                </c:pt>
                <c:pt idx="191">
                  <c:v>899.97</c:v>
                </c:pt>
                <c:pt idx="192">
                  <c:v>799.96</c:v>
                </c:pt>
                <c:pt idx="193">
                  <c:v>1499.95</c:v>
                </c:pt>
                <c:pt idx="194">
                  <c:v>449.97</c:v>
                </c:pt>
                <c:pt idx="195">
                  <c:v>299.95</c:v>
                </c:pt>
                <c:pt idx="196">
                  <c:v>239.96</c:v>
                </c:pt>
                <c:pt idx="197">
                  <c:v>999.96</c:v>
                </c:pt>
                <c:pt idx="198">
                  <c:v>3599.96</c:v>
                </c:pt>
                <c:pt idx="199">
                  <c:v>899.97</c:v>
                </c:pt>
                <c:pt idx="200">
                  <c:v>1399.98</c:v>
                </c:pt>
                <c:pt idx="201">
                  <c:v>2799.96</c:v>
                </c:pt>
                <c:pt idx="202">
                  <c:v>179.98</c:v>
                </c:pt>
                <c:pt idx="203">
                  <c:v>269.97000000000003</c:v>
                </c:pt>
                <c:pt idx="204">
                  <c:v>59.99</c:v>
                </c:pt>
                <c:pt idx="205">
                  <c:v>449.97</c:v>
                </c:pt>
                <c:pt idx="206">
                  <c:v>1499.95</c:v>
                </c:pt>
                <c:pt idx="207">
                  <c:v>299.95</c:v>
                </c:pt>
                <c:pt idx="208">
                  <c:v>239.97</c:v>
                </c:pt>
                <c:pt idx="209">
                  <c:v>599.97</c:v>
                </c:pt>
                <c:pt idx="210">
                  <c:v>179.98</c:v>
                </c:pt>
                <c:pt idx="211">
                  <c:v>299.98</c:v>
                </c:pt>
                <c:pt idx="212">
                  <c:v>3499.95</c:v>
                </c:pt>
                <c:pt idx="213">
                  <c:v>449.97</c:v>
                </c:pt>
                <c:pt idx="214">
                  <c:v>2699.97</c:v>
                </c:pt>
                <c:pt idx="215">
                  <c:v>599.97</c:v>
                </c:pt>
                <c:pt idx="216">
                  <c:v>1499.95</c:v>
                </c:pt>
                <c:pt idx="217">
                  <c:v>699.99</c:v>
                </c:pt>
                <c:pt idx="218">
                  <c:v>699.99</c:v>
                </c:pt>
                <c:pt idx="219">
                  <c:v>599.96</c:v>
                </c:pt>
                <c:pt idx="220">
                  <c:v>449.95</c:v>
                </c:pt>
                <c:pt idx="221">
                  <c:v>399.98</c:v>
                </c:pt>
                <c:pt idx="222">
                  <c:v>239.96</c:v>
                </c:pt>
                <c:pt idx="223">
                  <c:v>599.98</c:v>
                </c:pt>
                <c:pt idx="224">
                  <c:v>299.98</c:v>
                </c:pt>
                <c:pt idx="225">
                  <c:v>3499.95</c:v>
                </c:pt>
                <c:pt idx="226">
                  <c:v>299.95</c:v>
                </c:pt>
                <c:pt idx="227">
                  <c:v>179.98</c:v>
                </c:pt>
                <c:pt idx="228">
                  <c:v>1249.95</c:v>
                </c:pt>
                <c:pt idx="229">
                  <c:v>299.98</c:v>
                </c:pt>
                <c:pt idx="230">
                  <c:v>4499.95</c:v>
                </c:pt>
                <c:pt idx="231">
                  <c:v>599.96</c:v>
                </c:pt>
                <c:pt idx="232">
                  <c:v>249.99</c:v>
                </c:pt>
                <c:pt idx="233">
                  <c:v>119.98</c:v>
                </c:pt>
                <c:pt idx="234">
                  <c:v>299.98</c:v>
                </c:pt>
                <c:pt idx="235">
                  <c:v>2699.97</c:v>
                </c:pt>
                <c:pt idx="236">
                  <c:v>2699.97</c:v>
                </c:pt>
                <c:pt idx="237">
                  <c:v>899.97</c:v>
                </c:pt>
                <c:pt idx="238">
                  <c:v>599.96</c:v>
                </c:pt>
                <c:pt idx="239">
                  <c:v>319.95999999999998</c:v>
                </c:pt>
                <c:pt idx="240">
                  <c:v>449.95</c:v>
                </c:pt>
                <c:pt idx="241">
                  <c:v>449.97</c:v>
                </c:pt>
                <c:pt idx="242">
                  <c:v>179.98</c:v>
                </c:pt>
                <c:pt idx="243">
                  <c:v>1399.98</c:v>
                </c:pt>
                <c:pt idx="244">
                  <c:v>2699.97</c:v>
                </c:pt>
                <c:pt idx="245">
                  <c:v>239.97</c:v>
                </c:pt>
                <c:pt idx="246">
                  <c:v>89.99</c:v>
                </c:pt>
                <c:pt idx="247">
                  <c:v>2099.9699999999998</c:v>
                </c:pt>
                <c:pt idx="248">
                  <c:v>179.98</c:v>
                </c:pt>
                <c:pt idx="249">
                  <c:v>269.97000000000003</c:v>
                </c:pt>
              </c:numCache>
            </c:numRef>
          </c:yVal>
          <c:smooth val="0"/>
          <c:extLst>
            <c:ext xmlns:c16="http://schemas.microsoft.com/office/drawing/2014/chart" uri="{C3380CC4-5D6E-409C-BE32-E72D297353CC}">
              <c16:uniqueId val="{00000000-04BF-4C16-A4A3-43ECF043B7BA}"/>
            </c:ext>
          </c:extLst>
        </c:ser>
        <c:ser>
          <c:idx val="1"/>
          <c:order val="1"/>
          <c:tx>
            <c:v>Predicted Total_Amount</c:v>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Raw_Data!$H$2:$H$251</c:f>
              <c:numCache>
                <c:formatCode>General</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[1]Sheet1!$B$25:$B$274</c:f>
              <c:numCache>
                <c:formatCode>General</c:formatCode>
                <c:ptCount val="250"/>
                <c:pt idx="0">
                  <c:v>912.52436394854556</c:v>
                </c:pt>
                <c:pt idx="1">
                  <c:v>912.52436394854556</c:v>
                </c:pt>
                <c:pt idx="2">
                  <c:v>912.52436394854556</c:v>
                </c:pt>
                <c:pt idx="3">
                  <c:v>912.52436394854556</c:v>
                </c:pt>
                <c:pt idx="4">
                  <c:v>1620.1103725245221</c:v>
                </c:pt>
                <c:pt idx="5">
                  <c:v>558.73135966055736</c:v>
                </c:pt>
                <c:pt idx="6">
                  <c:v>1620.1103725245221</c:v>
                </c:pt>
                <c:pt idx="7">
                  <c:v>912.52436394854556</c:v>
                </c:pt>
                <c:pt idx="8">
                  <c:v>912.52436394854556</c:v>
                </c:pt>
                <c:pt idx="9">
                  <c:v>912.52436394854556</c:v>
                </c:pt>
                <c:pt idx="10">
                  <c:v>204.93835537256916</c:v>
                </c:pt>
                <c:pt idx="11">
                  <c:v>1620.1103725245221</c:v>
                </c:pt>
                <c:pt idx="12">
                  <c:v>912.52436394854556</c:v>
                </c:pt>
                <c:pt idx="13">
                  <c:v>912.52436394854556</c:v>
                </c:pt>
                <c:pt idx="14">
                  <c:v>912.52436394854556</c:v>
                </c:pt>
                <c:pt idx="15">
                  <c:v>204.93835537256916</c:v>
                </c:pt>
                <c:pt idx="16">
                  <c:v>1266.3173682365336</c:v>
                </c:pt>
                <c:pt idx="17">
                  <c:v>558.73135966055736</c:v>
                </c:pt>
                <c:pt idx="18">
                  <c:v>1266.3173682365336</c:v>
                </c:pt>
                <c:pt idx="19">
                  <c:v>912.52436394854556</c:v>
                </c:pt>
                <c:pt idx="20">
                  <c:v>1620.1103725245221</c:v>
                </c:pt>
                <c:pt idx="21">
                  <c:v>1266.3173682365336</c:v>
                </c:pt>
                <c:pt idx="22">
                  <c:v>1266.3173682365336</c:v>
                </c:pt>
                <c:pt idx="23">
                  <c:v>1266.3173682365336</c:v>
                </c:pt>
                <c:pt idx="24">
                  <c:v>1620.1103725245221</c:v>
                </c:pt>
                <c:pt idx="25">
                  <c:v>1620.1103725245221</c:v>
                </c:pt>
                <c:pt idx="26">
                  <c:v>912.52436394854556</c:v>
                </c:pt>
                <c:pt idx="27">
                  <c:v>1620.1103725245221</c:v>
                </c:pt>
                <c:pt idx="28">
                  <c:v>558.73135966055736</c:v>
                </c:pt>
                <c:pt idx="29">
                  <c:v>1266.3173682365336</c:v>
                </c:pt>
                <c:pt idx="30">
                  <c:v>1620.1103725245221</c:v>
                </c:pt>
                <c:pt idx="31">
                  <c:v>558.73135966055736</c:v>
                </c:pt>
                <c:pt idx="32">
                  <c:v>912.52436394854556</c:v>
                </c:pt>
                <c:pt idx="33">
                  <c:v>204.93835537256916</c:v>
                </c:pt>
                <c:pt idx="34">
                  <c:v>912.52436394854556</c:v>
                </c:pt>
                <c:pt idx="35">
                  <c:v>912.52436394854556</c:v>
                </c:pt>
                <c:pt idx="36">
                  <c:v>912.52436394854556</c:v>
                </c:pt>
                <c:pt idx="37">
                  <c:v>1620.1103725245221</c:v>
                </c:pt>
                <c:pt idx="38">
                  <c:v>912.52436394854556</c:v>
                </c:pt>
                <c:pt idx="39">
                  <c:v>204.93835537256916</c:v>
                </c:pt>
                <c:pt idx="40">
                  <c:v>558.73135966055736</c:v>
                </c:pt>
                <c:pt idx="41">
                  <c:v>204.93835537256916</c:v>
                </c:pt>
                <c:pt idx="42">
                  <c:v>1620.1103725245221</c:v>
                </c:pt>
                <c:pt idx="43">
                  <c:v>1620.1103725245221</c:v>
                </c:pt>
                <c:pt idx="44">
                  <c:v>204.93835537256916</c:v>
                </c:pt>
                <c:pt idx="45">
                  <c:v>558.73135966055736</c:v>
                </c:pt>
                <c:pt idx="46">
                  <c:v>1266.3173682365336</c:v>
                </c:pt>
                <c:pt idx="47">
                  <c:v>1620.1103725245221</c:v>
                </c:pt>
                <c:pt idx="48">
                  <c:v>558.73135966055736</c:v>
                </c:pt>
                <c:pt idx="49">
                  <c:v>1620.1103725245221</c:v>
                </c:pt>
                <c:pt idx="50">
                  <c:v>1620.1103725245221</c:v>
                </c:pt>
                <c:pt idx="51">
                  <c:v>204.93835537256916</c:v>
                </c:pt>
                <c:pt idx="52">
                  <c:v>558.73135966055736</c:v>
                </c:pt>
                <c:pt idx="53">
                  <c:v>1266.3173682365336</c:v>
                </c:pt>
                <c:pt idx="54">
                  <c:v>204.93835537256916</c:v>
                </c:pt>
                <c:pt idx="55">
                  <c:v>558.73135966055736</c:v>
                </c:pt>
                <c:pt idx="56">
                  <c:v>912.52436394854556</c:v>
                </c:pt>
                <c:pt idx="57">
                  <c:v>1266.3173682365336</c:v>
                </c:pt>
                <c:pt idx="58">
                  <c:v>204.93835537256916</c:v>
                </c:pt>
                <c:pt idx="59">
                  <c:v>558.73135966055736</c:v>
                </c:pt>
                <c:pt idx="60">
                  <c:v>204.93835537256916</c:v>
                </c:pt>
                <c:pt idx="61">
                  <c:v>204.93835537256916</c:v>
                </c:pt>
                <c:pt idx="62">
                  <c:v>1620.1103725245221</c:v>
                </c:pt>
                <c:pt idx="63">
                  <c:v>204.93835537256916</c:v>
                </c:pt>
                <c:pt idx="64">
                  <c:v>558.73135966055736</c:v>
                </c:pt>
                <c:pt idx="65">
                  <c:v>1620.1103725245221</c:v>
                </c:pt>
                <c:pt idx="66">
                  <c:v>1266.3173682365336</c:v>
                </c:pt>
                <c:pt idx="67">
                  <c:v>204.93835537256916</c:v>
                </c:pt>
                <c:pt idx="68">
                  <c:v>204.93835537256916</c:v>
                </c:pt>
                <c:pt idx="69">
                  <c:v>558.73135966055736</c:v>
                </c:pt>
                <c:pt idx="70">
                  <c:v>912.52436394854556</c:v>
                </c:pt>
                <c:pt idx="71">
                  <c:v>912.52436394854556</c:v>
                </c:pt>
                <c:pt idx="72">
                  <c:v>912.52436394854556</c:v>
                </c:pt>
                <c:pt idx="73">
                  <c:v>204.93835537256916</c:v>
                </c:pt>
                <c:pt idx="74">
                  <c:v>1620.1103725245221</c:v>
                </c:pt>
                <c:pt idx="75">
                  <c:v>558.73135966055736</c:v>
                </c:pt>
                <c:pt idx="76">
                  <c:v>1266.3173682365336</c:v>
                </c:pt>
                <c:pt idx="77">
                  <c:v>558.73135966055736</c:v>
                </c:pt>
                <c:pt idx="78">
                  <c:v>204.93835537256916</c:v>
                </c:pt>
                <c:pt idx="79">
                  <c:v>558.73135966055736</c:v>
                </c:pt>
                <c:pt idx="80">
                  <c:v>912.52436394854556</c:v>
                </c:pt>
                <c:pt idx="81">
                  <c:v>558.73135966055736</c:v>
                </c:pt>
                <c:pt idx="82">
                  <c:v>1266.3173682365336</c:v>
                </c:pt>
                <c:pt idx="83">
                  <c:v>558.73135966055736</c:v>
                </c:pt>
                <c:pt idx="84">
                  <c:v>558.73135966055736</c:v>
                </c:pt>
                <c:pt idx="85">
                  <c:v>204.93835537256916</c:v>
                </c:pt>
                <c:pt idx="86">
                  <c:v>1620.1103725245221</c:v>
                </c:pt>
                <c:pt idx="87">
                  <c:v>1266.3173682365336</c:v>
                </c:pt>
                <c:pt idx="88">
                  <c:v>1620.1103725245221</c:v>
                </c:pt>
                <c:pt idx="89">
                  <c:v>912.52436394854556</c:v>
                </c:pt>
                <c:pt idx="90">
                  <c:v>1266.3173682365336</c:v>
                </c:pt>
                <c:pt idx="91">
                  <c:v>1620.1103725245221</c:v>
                </c:pt>
                <c:pt idx="92">
                  <c:v>558.73135966055736</c:v>
                </c:pt>
                <c:pt idx="93">
                  <c:v>1620.1103725245221</c:v>
                </c:pt>
                <c:pt idx="94">
                  <c:v>912.52436394854556</c:v>
                </c:pt>
                <c:pt idx="95">
                  <c:v>1620.1103725245221</c:v>
                </c:pt>
                <c:pt idx="96">
                  <c:v>912.52436394854556</c:v>
                </c:pt>
                <c:pt idx="97">
                  <c:v>558.73135966055736</c:v>
                </c:pt>
                <c:pt idx="98">
                  <c:v>204.93835537256916</c:v>
                </c:pt>
                <c:pt idx="99">
                  <c:v>912.52436394854556</c:v>
                </c:pt>
                <c:pt idx="100">
                  <c:v>558.73135966055736</c:v>
                </c:pt>
                <c:pt idx="101">
                  <c:v>204.93835537256916</c:v>
                </c:pt>
                <c:pt idx="102">
                  <c:v>204.93835537256916</c:v>
                </c:pt>
                <c:pt idx="103">
                  <c:v>558.73135966055736</c:v>
                </c:pt>
                <c:pt idx="104">
                  <c:v>912.52436394854556</c:v>
                </c:pt>
                <c:pt idx="105">
                  <c:v>912.52436394854556</c:v>
                </c:pt>
                <c:pt idx="106">
                  <c:v>1266.3173682365336</c:v>
                </c:pt>
                <c:pt idx="107">
                  <c:v>204.93835537256916</c:v>
                </c:pt>
                <c:pt idx="108">
                  <c:v>912.52436394854556</c:v>
                </c:pt>
                <c:pt idx="109">
                  <c:v>558.73135966055736</c:v>
                </c:pt>
                <c:pt idx="110">
                  <c:v>1266.3173682365336</c:v>
                </c:pt>
                <c:pt idx="111">
                  <c:v>558.73135966055736</c:v>
                </c:pt>
                <c:pt idx="112">
                  <c:v>1266.3173682365336</c:v>
                </c:pt>
                <c:pt idx="113">
                  <c:v>1620.1103725245221</c:v>
                </c:pt>
                <c:pt idx="114">
                  <c:v>204.93835537256916</c:v>
                </c:pt>
                <c:pt idx="115">
                  <c:v>1266.3173682365336</c:v>
                </c:pt>
                <c:pt idx="116">
                  <c:v>912.52436394854556</c:v>
                </c:pt>
                <c:pt idx="117">
                  <c:v>912.52436394854556</c:v>
                </c:pt>
                <c:pt idx="118">
                  <c:v>558.73135966055736</c:v>
                </c:pt>
                <c:pt idx="119">
                  <c:v>204.93835537256916</c:v>
                </c:pt>
                <c:pt idx="120">
                  <c:v>1266.3173682365336</c:v>
                </c:pt>
                <c:pt idx="121">
                  <c:v>558.73135966055736</c:v>
                </c:pt>
                <c:pt idx="122">
                  <c:v>1266.3173682365336</c:v>
                </c:pt>
                <c:pt idx="123">
                  <c:v>558.73135966055736</c:v>
                </c:pt>
                <c:pt idx="124">
                  <c:v>912.52436394854556</c:v>
                </c:pt>
                <c:pt idx="125">
                  <c:v>912.52436394854556</c:v>
                </c:pt>
                <c:pt idx="126">
                  <c:v>912.52436394854556</c:v>
                </c:pt>
                <c:pt idx="127">
                  <c:v>1620.1103725245221</c:v>
                </c:pt>
                <c:pt idx="128">
                  <c:v>1266.3173682365336</c:v>
                </c:pt>
                <c:pt idx="129">
                  <c:v>204.93835537256916</c:v>
                </c:pt>
                <c:pt idx="130">
                  <c:v>558.73135966055736</c:v>
                </c:pt>
                <c:pt idx="131">
                  <c:v>912.52436394854556</c:v>
                </c:pt>
                <c:pt idx="132">
                  <c:v>558.73135966055736</c:v>
                </c:pt>
                <c:pt idx="133">
                  <c:v>558.73135966055736</c:v>
                </c:pt>
                <c:pt idx="134">
                  <c:v>1620.1103725245221</c:v>
                </c:pt>
                <c:pt idx="135">
                  <c:v>912.52436394854556</c:v>
                </c:pt>
                <c:pt idx="136">
                  <c:v>1620.1103725245221</c:v>
                </c:pt>
                <c:pt idx="137">
                  <c:v>912.52436394854556</c:v>
                </c:pt>
                <c:pt idx="138">
                  <c:v>912.52436394854556</c:v>
                </c:pt>
                <c:pt idx="139">
                  <c:v>558.73135966055736</c:v>
                </c:pt>
                <c:pt idx="140">
                  <c:v>204.93835537256916</c:v>
                </c:pt>
                <c:pt idx="141">
                  <c:v>912.52436394854556</c:v>
                </c:pt>
                <c:pt idx="142">
                  <c:v>1620.1103725245221</c:v>
                </c:pt>
                <c:pt idx="143">
                  <c:v>1266.3173682365336</c:v>
                </c:pt>
                <c:pt idx="144">
                  <c:v>1620.1103725245221</c:v>
                </c:pt>
                <c:pt idx="145">
                  <c:v>912.52436394854556</c:v>
                </c:pt>
                <c:pt idx="146">
                  <c:v>1620.1103725245221</c:v>
                </c:pt>
                <c:pt idx="147">
                  <c:v>558.73135966055736</c:v>
                </c:pt>
                <c:pt idx="148">
                  <c:v>1266.3173682365336</c:v>
                </c:pt>
                <c:pt idx="149">
                  <c:v>204.93835537256916</c:v>
                </c:pt>
                <c:pt idx="150">
                  <c:v>912.52436394854556</c:v>
                </c:pt>
                <c:pt idx="151">
                  <c:v>1620.1103725245221</c:v>
                </c:pt>
                <c:pt idx="152">
                  <c:v>558.73135966055736</c:v>
                </c:pt>
                <c:pt idx="153">
                  <c:v>912.52436394854556</c:v>
                </c:pt>
                <c:pt idx="154">
                  <c:v>1620.1103725245221</c:v>
                </c:pt>
                <c:pt idx="155">
                  <c:v>558.73135966055736</c:v>
                </c:pt>
                <c:pt idx="156">
                  <c:v>1620.1103725245221</c:v>
                </c:pt>
                <c:pt idx="157">
                  <c:v>1266.3173682365336</c:v>
                </c:pt>
                <c:pt idx="158">
                  <c:v>1266.3173682365336</c:v>
                </c:pt>
                <c:pt idx="159">
                  <c:v>558.73135966055736</c:v>
                </c:pt>
                <c:pt idx="160">
                  <c:v>912.52436394854556</c:v>
                </c:pt>
                <c:pt idx="161">
                  <c:v>1266.3173682365336</c:v>
                </c:pt>
                <c:pt idx="162">
                  <c:v>912.52436394854556</c:v>
                </c:pt>
                <c:pt idx="163">
                  <c:v>558.73135966055736</c:v>
                </c:pt>
                <c:pt idx="164">
                  <c:v>204.93835537256916</c:v>
                </c:pt>
                <c:pt idx="165">
                  <c:v>558.73135966055736</c:v>
                </c:pt>
                <c:pt idx="166">
                  <c:v>558.73135966055736</c:v>
                </c:pt>
                <c:pt idx="167">
                  <c:v>204.93835537256916</c:v>
                </c:pt>
                <c:pt idx="168">
                  <c:v>1620.1103725245221</c:v>
                </c:pt>
                <c:pt idx="169">
                  <c:v>558.73135966055736</c:v>
                </c:pt>
                <c:pt idx="170">
                  <c:v>558.73135966055736</c:v>
                </c:pt>
                <c:pt idx="171">
                  <c:v>912.52436394854556</c:v>
                </c:pt>
                <c:pt idx="172">
                  <c:v>558.73135966055736</c:v>
                </c:pt>
                <c:pt idx="173">
                  <c:v>558.73135966055736</c:v>
                </c:pt>
                <c:pt idx="174">
                  <c:v>1266.3173682365336</c:v>
                </c:pt>
                <c:pt idx="175">
                  <c:v>204.93835537256916</c:v>
                </c:pt>
                <c:pt idx="176">
                  <c:v>1620.1103725245221</c:v>
                </c:pt>
                <c:pt idx="177">
                  <c:v>204.93835537256916</c:v>
                </c:pt>
                <c:pt idx="178">
                  <c:v>558.73135966055736</c:v>
                </c:pt>
                <c:pt idx="179">
                  <c:v>204.93835537256916</c:v>
                </c:pt>
                <c:pt idx="180">
                  <c:v>1620.1103725245221</c:v>
                </c:pt>
                <c:pt idx="181">
                  <c:v>912.52436394854556</c:v>
                </c:pt>
                <c:pt idx="182">
                  <c:v>912.52436394854556</c:v>
                </c:pt>
                <c:pt idx="183">
                  <c:v>1620.1103725245221</c:v>
                </c:pt>
                <c:pt idx="184">
                  <c:v>1620.1103725245221</c:v>
                </c:pt>
                <c:pt idx="185">
                  <c:v>1266.3173682365336</c:v>
                </c:pt>
                <c:pt idx="186">
                  <c:v>912.52436394854556</c:v>
                </c:pt>
                <c:pt idx="187">
                  <c:v>204.93835537256916</c:v>
                </c:pt>
                <c:pt idx="188">
                  <c:v>204.93835537256916</c:v>
                </c:pt>
                <c:pt idx="189">
                  <c:v>1266.3173682365336</c:v>
                </c:pt>
                <c:pt idx="190">
                  <c:v>558.73135966055736</c:v>
                </c:pt>
                <c:pt idx="191">
                  <c:v>912.52436394854556</c:v>
                </c:pt>
                <c:pt idx="192">
                  <c:v>1266.3173682365336</c:v>
                </c:pt>
                <c:pt idx="193">
                  <c:v>1620.1103725245221</c:v>
                </c:pt>
                <c:pt idx="194">
                  <c:v>912.52436394854556</c:v>
                </c:pt>
                <c:pt idx="195">
                  <c:v>1620.1103725245221</c:v>
                </c:pt>
                <c:pt idx="196">
                  <c:v>1266.3173682365336</c:v>
                </c:pt>
                <c:pt idx="197">
                  <c:v>1266.3173682365336</c:v>
                </c:pt>
                <c:pt idx="198">
                  <c:v>1266.3173682365336</c:v>
                </c:pt>
                <c:pt idx="199">
                  <c:v>912.52436394854556</c:v>
                </c:pt>
                <c:pt idx="200">
                  <c:v>558.73135966055736</c:v>
                </c:pt>
                <c:pt idx="201">
                  <c:v>1266.3173682365336</c:v>
                </c:pt>
                <c:pt idx="202">
                  <c:v>558.73135966055736</c:v>
                </c:pt>
                <c:pt idx="203">
                  <c:v>912.52436394854556</c:v>
                </c:pt>
                <c:pt idx="204">
                  <c:v>204.93835537256916</c:v>
                </c:pt>
                <c:pt idx="205">
                  <c:v>912.52436394854556</c:v>
                </c:pt>
                <c:pt idx="206">
                  <c:v>1620.1103725245221</c:v>
                </c:pt>
                <c:pt idx="207">
                  <c:v>1620.1103725245221</c:v>
                </c:pt>
                <c:pt idx="208">
                  <c:v>912.52436394854556</c:v>
                </c:pt>
                <c:pt idx="209">
                  <c:v>912.52436394854556</c:v>
                </c:pt>
                <c:pt idx="210">
                  <c:v>558.73135966055736</c:v>
                </c:pt>
                <c:pt idx="211">
                  <c:v>558.73135966055736</c:v>
                </c:pt>
                <c:pt idx="212">
                  <c:v>1620.1103725245221</c:v>
                </c:pt>
                <c:pt idx="213">
                  <c:v>912.52436394854556</c:v>
                </c:pt>
                <c:pt idx="214">
                  <c:v>912.52436394854556</c:v>
                </c:pt>
                <c:pt idx="215">
                  <c:v>912.52436394854556</c:v>
                </c:pt>
                <c:pt idx="216">
                  <c:v>1620.1103725245221</c:v>
                </c:pt>
                <c:pt idx="217">
                  <c:v>204.93835537256916</c:v>
                </c:pt>
                <c:pt idx="218">
                  <c:v>204.93835537256916</c:v>
                </c:pt>
                <c:pt idx="219">
                  <c:v>1266.3173682365336</c:v>
                </c:pt>
                <c:pt idx="220">
                  <c:v>1620.1103725245221</c:v>
                </c:pt>
                <c:pt idx="221">
                  <c:v>558.73135966055736</c:v>
                </c:pt>
                <c:pt idx="222">
                  <c:v>1266.3173682365336</c:v>
                </c:pt>
                <c:pt idx="223">
                  <c:v>558.73135966055736</c:v>
                </c:pt>
                <c:pt idx="224">
                  <c:v>558.73135966055736</c:v>
                </c:pt>
                <c:pt idx="225">
                  <c:v>1620.1103725245221</c:v>
                </c:pt>
                <c:pt idx="226">
                  <c:v>1620.1103725245221</c:v>
                </c:pt>
                <c:pt idx="227">
                  <c:v>558.73135966055736</c:v>
                </c:pt>
                <c:pt idx="228">
                  <c:v>1620.1103725245221</c:v>
                </c:pt>
                <c:pt idx="229">
                  <c:v>558.73135966055736</c:v>
                </c:pt>
                <c:pt idx="230">
                  <c:v>1620.1103725245221</c:v>
                </c:pt>
                <c:pt idx="231">
                  <c:v>1266.3173682365336</c:v>
                </c:pt>
                <c:pt idx="232">
                  <c:v>204.93835537256916</c:v>
                </c:pt>
                <c:pt idx="233">
                  <c:v>558.73135966055736</c:v>
                </c:pt>
                <c:pt idx="234">
                  <c:v>558.73135966055736</c:v>
                </c:pt>
                <c:pt idx="235">
                  <c:v>912.52436394854556</c:v>
                </c:pt>
                <c:pt idx="236">
                  <c:v>912.52436394854556</c:v>
                </c:pt>
                <c:pt idx="237">
                  <c:v>912.52436394854556</c:v>
                </c:pt>
                <c:pt idx="238">
                  <c:v>1266.3173682365336</c:v>
                </c:pt>
                <c:pt idx="239">
                  <c:v>1266.3173682365336</c:v>
                </c:pt>
                <c:pt idx="240">
                  <c:v>1620.1103725245221</c:v>
                </c:pt>
                <c:pt idx="241">
                  <c:v>912.52436394854556</c:v>
                </c:pt>
                <c:pt idx="242">
                  <c:v>558.73135966055736</c:v>
                </c:pt>
                <c:pt idx="243">
                  <c:v>558.73135966055736</c:v>
                </c:pt>
                <c:pt idx="244">
                  <c:v>912.52436394854556</c:v>
                </c:pt>
                <c:pt idx="245">
                  <c:v>912.52436394854556</c:v>
                </c:pt>
                <c:pt idx="246">
                  <c:v>204.93835537256916</c:v>
                </c:pt>
                <c:pt idx="247">
                  <c:v>912.52436394854556</c:v>
                </c:pt>
                <c:pt idx="248">
                  <c:v>558.73135966055736</c:v>
                </c:pt>
                <c:pt idx="249">
                  <c:v>912.52436394854556</c:v>
                </c:pt>
              </c:numCache>
            </c:numRef>
          </c:yVal>
          <c:smooth val="0"/>
          <c:extLst>
            <c:ext xmlns:c16="http://schemas.microsoft.com/office/drawing/2014/chart" uri="{C3380CC4-5D6E-409C-BE32-E72D297353CC}">
              <c16:uniqueId val="{00000001-04BF-4C16-A4A3-43ECF043B7BA}"/>
            </c:ext>
          </c:extLst>
        </c:ser>
        <c:dLbls>
          <c:showLegendKey val="0"/>
          <c:showVal val="0"/>
          <c:showCatName val="0"/>
          <c:showSerName val="0"/>
          <c:showPercent val="0"/>
          <c:showBubbleSize val="0"/>
        </c:dLbls>
        <c:axId val="2129519615"/>
        <c:axId val="2129530431"/>
      </c:scatterChart>
      <c:valAx>
        <c:axId val="212951961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9530431"/>
        <c:crosses val="autoZero"/>
        <c:crossBetween val="midCat"/>
      </c:valAx>
      <c:valAx>
        <c:axId val="212953043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Total_Amount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951961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 Final Project (1).xlsx]Pivot_Report!PivotTable4</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Pivot_Report!$B$4</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Pivot_Report!$A$5:$A$9</c:f>
              <c:strCache>
                <c:ptCount val="5"/>
                <c:pt idx="0">
                  <c:v>Central</c:v>
                </c:pt>
                <c:pt idx="1">
                  <c:v>East</c:v>
                </c:pt>
                <c:pt idx="2">
                  <c:v>North</c:v>
                </c:pt>
                <c:pt idx="3">
                  <c:v>South</c:v>
                </c:pt>
                <c:pt idx="4">
                  <c:v>West</c:v>
                </c:pt>
              </c:strCache>
            </c:strRef>
          </c:cat>
          <c:val>
            <c:numRef>
              <c:f>Pivot_Report!$B$5:$B$9</c:f>
              <c:numCache>
                <c:formatCode>[$₹-447]#,##0.00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56D-453D-983C-CFDBB966238F}"/>
            </c:ext>
          </c:extLst>
        </c:ser>
        <c:dLbls>
          <c:dLblPos val="inEnd"/>
          <c:showLegendKey val="0"/>
          <c:showVal val="1"/>
          <c:showCatName val="0"/>
          <c:showSerName val="0"/>
          <c:showPercent val="0"/>
          <c:showBubbleSize val="0"/>
        </c:dLbls>
        <c:gapWidth val="269"/>
        <c:overlap val="-20"/>
        <c:axId val="224667775"/>
        <c:axId val="224665695"/>
      </c:barChart>
      <c:catAx>
        <c:axId val="2246677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24665695"/>
        <c:crosses val="autoZero"/>
        <c:auto val="1"/>
        <c:lblAlgn val="ctr"/>
        <c:lblOffset val="100"/>
        <c:noMultiLvlLbl val="0"/>
      </c:catAx>
      <c:valAx>
        <c:axId val="224665695"/>
        <c:scaling>
          <c:orientation val="minMax"/>
        </c:scaling>
        <c:delete val="0"/>
        <c:axPos val="l"/>
        <c:numFmt formatCode="[$₹-447]#,##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466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 Final Project (1).xlsx]Pivot_Report!PivotTable5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0.29484886264216975"/>
              <c:y val="-4.363808690580343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722211286089238"/>
              <c:y val="-4.962434383202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Pivot_Report!$B$15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F8-49E8-9D69-3332D496BC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F8-49E8-9D69-3332D496BC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F8-49E8-9D69-3332D496BC21}"/>
              </c:ext>
            </c:extLst>
          </c:dPt>
          <c:dLbls>
            <c:dLbl>
              <c:idx val="0"/>
              <c:layout>
                <c:manualLayout>
                  <c:x val="-0.24722211286089238"/>
                  <c:y val="-4.962434383202099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DF8-49E8-9D69-3332D496BC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Pivot_Report!$A$16:$A$18</c:f>
              <c:strCache>
                <c:ptCount val="3"/>
                <c:pt idx="0">
                  <c:v>Appliances</c:v>
                </c:pt>
                <c:pt idx="1">
                  <c:v>Electronics</c:v>
                </c:pt>
                <c:pt idx="2">
                  <c:v>Furniture</c:v>
                </c:pt>
              </c:strCache>
            </c:strRef>
          </c:cat>
          <c:val>
            <c:numRef>
              <c:f>Pivot_Report!$B$16:$B$18</c:f>
              <c:numCache>
                <c:formatCode>_-[$₹-44C]* #,##0.00_-;\-[$₹-44C]* #,##0.00_-;_-[$₹-44C]* "-"??_-;_-@_-</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CDF8-49E8-9D69-3332D496BC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 Final Project (1).xlsx]Pivot_Report!PivotTable9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Pivot_Report!$J$15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Pivot_Report!$I$16:$I$28</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Pivot_Report!$J$16:$J$28</c:f>
              <c:numCache>
                <c:formatCode>[$₹-4009]\ #,##0.00</c:formatCode>
                <c:ptCount val="13"/>
                <c:pt idx="0">
                  <c:v>20919.330000000002</c:v>
                </c:pt>
                <c:pt idx="1">
                  <c:v>6979.829999999999</c:v>
                </c:pt>
                <c:pt idx="2">
                  <c:v>15759.429999999997</c:v>
                </c:pt>
                <c:pt idx="3">
                  <c:v>23039.3</c:v>
                </c:pt>
                <c:pt idx="4">
                  <c:v>16069.379999999997</c:v>
                </c:pt>
                <c:pt idx="5">
                  <c:v>25799.15</c:v>
                </c:pt>
                <c:pt idx="6">
                  <c:v>18479.399999999994</c:v>
                </c:pt>
                <c:pt idx="7">
                  <c:v>19299.45</c:v>
                </c:pt>
                <c:pt idx="8">
                  <c:v>19899.379999999997</c:v>
                </c:pt>
                <c:pt idx="9">
                  <c:v>17039.349999999999</c:v>
                </c:pt>
                <c:pt idx="10">
                  <c:v>12309.439999999999</c:v>
                </c:pt>
                <c:pt idx="11">
                  <c:v>20609.52</c:v>
                </c:pt>
                <c:pt idx="12">
                  <c:v>12989.509999999997</c:v>
                </c:pt>
              </c:numCache>
            </c:numRef>
          </c:val>
          <c:smooth val="0"/>
          <c:extLst>
            <c:ext xmlns:c16="http://schemas.microsoft.com/office/drawing/2014/chart" uri="{C3380CC4-5D6E-409C-BE32-E72D297353CC}">
              <c16:uniqueId val="{00000000-F443-4BE2-9516-ED564887A31B}"/>
            </c:ext>
          </c:extLst>
        </c:ser>
        <c:dLbls>
          <c:showLegendKey val="0"/>
          <c:showVal val="0"/>
          <c:showCatName val="0"/>
          <c:showSerName val="0"/>
          <c:showPercent val="0"/>
          <c:showBubbleSize val="0"/>
        </c:dLbls>
        <c:marker val="1"/>
        <c:smooth val="0"/>
        <c:axId val="175776399"/>
        <c:axId val="175751439"/>
      </c:lineChart>
      <c:catAx>
        <c:axId val="1757763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51439"/>
        <c:crosses val="autoZero"/>
        <c:auto val="1"/>
        <c:lblAlgn val="ctr"/>
        <c:lblOffset val="100"/>
        <c:noMultiLvlLbl val="0"/>
      </c:catAx>
      <c:valAx>
        <c:axId val="175751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 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7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 Final Project (1).xlsx]Pivot_Report!PivotTable7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Pivot_Report!$F$18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Pivot_Report!$E$19:$E$22</c:f>
              <c:strCache>
                <c:ptCount val="4"/>
                <c:pt idx="0">
                  <c:v>Cash</c:v>
                </c:pt>
                <c:pt idx="1">
                  <c:v>Credit Card</c:v>
                </c:pt>
                <c:pt idx="2">
                  <c:v>Debit Card</c:v>
                </c:pt>
                <c:pt idx="3">
                  <c:v>PayPal</c:v>
                </c:pt>
              </c:strCache>
            </c:strRef>
          </c:cat>
          <c:val>
            <c:numRef>
              <c:f>Pivot_Report!$F$19:$F$22</c:f>
              <c:numCache>
                <c:formatCode>_ [$₹-4009]\ * #,##0.00_ ;_ [$₹-4009]\ * \-#,##0.00_ ;_ [$₹-4009]\ * "-"??_ ;_ @_ </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4E89-4B62-8C27-235FEF717C33}"/>
            </c:ext>
          </c:extLst>
        </c:ser>
        <c:dLbls>
          <c:showLegendKey val="0"/>
          <c:showVal val="0"/>
          <c:showCatName val="0"/>
          <c:showSerName val="0"/>
          <c:showPercent val="0"/>
          <c:showBubbleSize val="0"/>
        </c:dLbls>
        <c:gapWidth val="115"/>
        <c:overlap val="-20"/>
        <c:axId val="587740239"/>
        <c:axId val="587741071"/>
      </c:barChart>
      <c:catAx>
        <c:axId val="5877402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741071"/>
        <c:crosses val="autoZero"/>
        <c:auto val="1"/>
        <c:lblAlgn val="ctr"/>
        <c:lblOffset val="100"/>
        <c:noMultiLvlLbl val="0"/>
      </c:catAx>
      <c:valAx>
        <c:axId val="587741071"/>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7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 Final Project (1).xlsx]Pivot_Report!PivotTable6</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Pivot_Report!$F$4</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Pivot_Report!$E$5:$E$14</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Pivot_Report!$F$5:$F$14</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1923-4FF0-8803-7D0A22969E88}"/>
            </c:ext>
          </c:extLst>
        </c:ser>
        <c:dLbls>
          <c:dLblPos val="outEnd"/>
          <c:showLegendKey val="0"/>
          <c:showVal val="1"/>
          <c:showCatName val="0"/>
          <c:showSerName val="0"/>
          <c:showPercent val="0"/>
          <c:showBubbleSize val="0"/>
        </c:dLbls>
        <c:gapWidth val="269"/>
        <c:overlap val="-20"/>
        <c:axId val="175761423"/>
        <c:axId val="175771407"/>
      </c:barChart>
      <c:catAx>
        <c:axId val="17576142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771407"/>
        <c:crosses val="autoZero"/>
        <c:auto val="1"/>
        <c:lblAlgn val="ctr"/>
        <c:lblOffset val="100"/>
        <c:noMultiLvlLbl val="0"/>
      </c:catAx>
      <c:valAx>
        <c:axId val="175771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7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 Final Project (1).xlsx]Pivot_Report!PivotTable8</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Customer Segment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435542432195973"/>
          <c:y val="0.30325313502478857"/>
          <c:w val="0.35240048118985129"/>
          <c:h val="0.58733413531641876"/>
        </c:manualLayout>
      </c:layout>
      <c:doughnutChart>
        <c:varyColors val="1"/>
        <c:ser>
          <c:idx val="0"/>
          <c:order val="0"/>
          <c:tx>
            <c:strRef>
              <c:f>Pivot_Report!$J$4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A9-4BA1-9FFE-77F90B63D75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A9-4BA1-9FFE-77F90B63D75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9A9-4BA1-9FFE-77F90B63D7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Pivot_Report!$I$5:$I$7</c:f>
              <c:strCache>
                <c:ptCount val="3"/>
                <c:pt idx="0">
                  <c:v>Basic</c:v>
                </c:pt>
                <c:pt idx="1">
                  <c:v>Premium</c:v>
                </c:pt>
                <c:pt idx="2">
                  <c:v>Standard</c:v>
                </c:pt>
              </c:strCache>
            </c:strRef>
          </c:cat>
          <c:val>
            <c:numRef>
              <c:f>Pivot_Report!$J$5:$J$7</c:f>
              <c:numCache>
                <c:formatCode>[$₹-4009]\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49A9-4BA1-9FFE-77F90B63D75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257175</xdr:colOff>
      <xdr:row>13</xdr:row>
      <xdr:rowOff>152400</xdr:rowOff>
    </xdr:from>
    <xdr:to>
      <xdr:col>16</xdr:col>
      <xdr:colOff>257175</xdr:colOff>
      <xdr:row>23</xdr:row>
      <xdr:rowOff>142875</xdr:rowOff>
    </xdr:to>
    <xdr:graphicFrame macro="">
      <xdr:nvGraphicFramePr>
        <xdr:cNvPr id="2" name="Chart 1">
          <a:extLst>
            <a:ext uri="{FF2B5EF4-FFF2-40B4-BE49-F238E27FC236}">
              <a16:creationId xmlns:a16="http://schemas.microsoft.com/office/drawing/2014/main" id="{D774EBC7-57B0-4C73-B3CD-1019A6304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238125</xdr:colOff>
      <xdr:row>2</xdr:row>
      <xdr:rowOff>180975</xdr:rowOff>
    </xdr:from>
    <xdr:to>
      <xdr:col>16</xdr:col>
      <xdr:colOff>238125</xdr:colOff>
      <xdr:row>12</xdr:row>
      <xdr:rowOff>180975</xdr:rowOff>
    </xdr:to>
    <xdr:graphicFrame macro="">
      <xdr:nvGraphicFramePr>
        <xdr:cNvPr id="3" name="Chart 2">
          <a:extLst>
            <a:ext uri="{FF2B5EF4-FFF2-40B4-BE49-F238E27FC236}">
              <a16:creationId xmlns:a16="http://schemas.microsoft.com/office/drawing/2014/main" id="{DBBE0855-CAA9-4757-94C8-E43D6D812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317750</xdr:colOff>
      <xdr:row>3</xdr:row>
      <xdr:rowOff>36120</xdr:rowOff>
    </xdr:from>
    <xdr:to>
      <xdr:col>12</xdr:col>
      <xdr:colOff>9525</xdr:colOff>
      <xdr:row>17</xdr:row>
      <xdr:rowOff>82353</xdr:rowOff>
    </xdr:to>
    <xdr:graphicFrame macro="">
      <xdr:nvGraphicFramePr>
        <xdr:cNvPr id="2" name="Chart 1">
          <a:extLst>
            <a:ext uri="{FF2B5EF4-FFF2-40B4-BE49-F238E27FC236}">
              <a16:creationId xmlns:a16="http://schemas.microsoft.com/office/drawing/2014/main" id="{FD7F84C7-D6E4-4B73-9C63-C88CF087D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524731</xdr:colOff>
      <xdr:row>3</xdr:row>
      <xdr:rowOff>45217</xdr:rowOff>
    </xdr:from>
    <xdr:to>
      <xdr:col>20</xdr:col>
      <xdr:colOff>216506</xdr:colOff>
      <xdr:row>17</xdr:row>
      <xdr:rowOff>91450</xdr:rowOff>
    </xdr:to>
    <xdr:graphicFrame macro="">
      <xdr:nvGraphicFramePr>
        <xdr:cNvPr id="3" name="Chart 2">
          <a:extLst>
            <a:ext uri="{FF2B5EF4-FFF2-40B4-BE49-F238E27FC236}">
              <a16:creationId xmlns:a16="http://schemas.microsoft.com/office/drawing/2014/main" id="{1CC5B018-66E2-4233-A926-1AB860406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122433</xdr:colOff>
      <xdr:row>3</xdr:row>
      <xdr:rowOff>56668</xdr:rowOff>
    </xdr:from>
    <xdr:to>
      <xdr:col>28</xdr:col>
      <xdr:colOff>424236</xdr:colOff>
      <xdr:row>17</xdr:row>
      <xdr:rowOff>102901</xdr:rowOff>
    </xdr:to>
    <xdr:graphicFrame macro="">
      <xdr:nvGraphicFramePr>
        <xdr:cNvPr id="4" name="Chart 3">
          <a:extLst>
            <a:ext uri="{FF2B5EF4-FFF2-40B4-BE49-F238E27FC236}">
              <a16:creationId xmlns:a16="http://schemas.microsoft.com/office/drawing/2014/main" id="{A5D02387-6292-4885-BF94-90C6A6C51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315074</xdr:colOff>
      <xdr:row>19</xdr:row>
      <xdr:rowOff>131583</xdr:rowOff>
    </xdr:from>
    <xdr:to>
      <xdr:col>12</xdr:col>
      <xdr:colOff>6849</xdr:colOff>
      <xdr:row>33</xdr:row>
      <xdr:rowOff>177817</xdr:rowOff>
    </xdr:to>
    <xdr:graphicFrame macro="">
      <xdr:nvGraphicFramePr>
        <xdr:cNvPr id="5" name="Chart 4">
          <a:extLst>
            <a:ext uri="{FF2B5EF4-FFF2-40B4-BE49-F238E27FC236}">
              <a16:creationId xmlns:a16="http://schemas.microsoft.com/office/drawing/2014/main" id="{A8E11ECD-7450-457F-A443-82DCFCFD8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539821</xdr:colOff>
      <xdr:row>19</xdr:row>
      <xdr:rowOff>120882</xdr:rowOff>
    </xdr:from>
    <xdr:to>
      <xdr:col>20</xdr:col>
      <xdr:colOff>231596</xdr:colOff>
      <xdr:row>33</xdr:row>
      <xdr:rowOff>167116</xdr:rowOff>
    </xdr:to>
    <xdr:graphicFrame macro="">
      <xdr:nvGraphicFramePr>
        <xdr:cNvPr id="6" name="Chart 5">
          <a:extLst>
            <a:ext uri="{FF2B5EF4-FFF2-40B4-BE49-F238E27FC236}">
              <a16:creationId xmlns:a16="http://schemas.microsoft.com/office/drawing/2014/main" id="{7983CD49-B53A-44D2-A1A3-E3B13F64B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143838</xdr:colOff>
      <xdr:row>19</xdr:row>
      <xdr:rowOff>120881</xdr:rowOff>
    </xdr:from>
    <xdr:to>
      <xdr:col>28</xdr:col>
      <xdr:colOff>445641</xdr:colOff>
      <xdr:row>33</xdr:row>
      <xdr:rowOff>167115</xdr:rowOff>
    </xdr:to>
    <xdr:graphicFrame macro="">
      <xdr:nvGraphicFramePr>
        <xdr:cNvPr id="7" name="Chart 6">
          <a:extLst>
            <a:ext uri="{FF2B5EF4-FFF2-40B4-BE49-F238E27FC236}">
              <a16:creationId xmlns:a16="http://schemas.microsoft.com/office/drawing/2014/main" id="{11BEBFF2-553D-4297-A6C9-3AA0E91E3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337655</xdr:colOff>
      <xdr:row>34</xdr:row>
      <xdr:rowOff>182260</xdr:rowOff>
    </xdr:from>
    <xdr:to>
      <xdr:col>25</xdr:col>
      <xdr:colOff>80673</xdr:colOff>
      <xdr:row>46</xdr:row>
      <xdr:rowOff>156574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DC615502-5381-46A5-9B11-3AF5F24FA5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48245" y="6732035"/>
              <a:ext cx="218313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364412</xdr:colOff>
      <xdr:row>35</xdr:row>
      <xdr:rowOff>5673</xdr:rowOff>
    </xdr:from>
    <xdr:to>
      <xdr:col>8</xdr:col>
      <xdr:colOff>107429</xdr:colOff>
      <xdr:row>46</xdr:row>
      <xdr:rowOff>172628</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56FAA32E-B1F1-4767-A415-A3611074A1A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804524" y="6748089"/>
              <a:ext cx="218313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530297</xdr:colOff>
      <xdr:row>34</xdr:row>
      <xdr:rowOff>160855</xdr:rowOff>
    </xdr:from>
    <xdr:to>
      <xdr:col>19</xdr:col>
      <xdr:colOff>273314</xdr:colOff>
      <xdr:row>46</xdr:row>
      <xdr:rowOff>135169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77C639C-DF68-495B-BAD3-F5A1A466AC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80718" y="6710630"/>
              <a:ext cx="218313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64749</xdr:colOff>
      <xdr:row>35</xdr:row>
      <xdr:rowOff>5673</xdr:rowOff>
    </xdr:from>
    <xdr:to>
      <xdr:col>13</xdr:col>
      <xdr:colOff>417795</xdr:colOff>
      <xdr:row>46</xdr:row>
      <xdr:rowOff>172628</xdr:rowOff>
    </xdr:to>
    <mc:AlternateContent xmlns:mc="http://schemas.openxmlformats.org/markup-compatibility/2006" xmlns:a14="http://schemas.microsoft.com/office/drawing/2010/main">
      <mc:Choice Requires="a14">
        <xdr:graphicFrame macro="">
          <xdr:nvGraphicFramePr>
            <xdr:cNvPr id="11" name="Customer_Segment">
              <a:extLst>
                <a:ext uri="{FF2B5EF4-FFF2-40B4-BE49-F238E27FC236}">
                  <a16:creationId xmlns:a16="http://schemas.microsoft.com/office/drawing/2014/main" id="{D9702E35-D585-4977-8119-B095DE2E4E6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6165030" y="6748089"/>
              <a:ext cx="218313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171129</xdr:colOff>
      <xdr:row>34</xdr:row>
      <xdr:rowOff>178941</xdr:rowOff>
    </xdr:from>
    <xdr:to>
      <xdr:col>31</xdr:col>
      <xdr:colOff>454738</xdr:colOff>
      <xdr:row>42</xdr:row>
      <xdr:rowOff>9417</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B0B10215-4D02-4021-BF0C-11AA6DB65D5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031859" y="6728716"/>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5">
          <cell r="B25">
            <v>912.52436394854556</v>
          </cell>
          <cell r="C25">
            <v>-162.55436394854553</v>
          </cell>
        </row>
        <row r="26">
          <cell r="B26">
            <v>912.52436394854556</v>
          </cell>
          <cell r="C26">
            <v>-162.55436394854553</v>
          </cell>
        </row>
        <row r="27">
          <cell r="B27">
            <v>912.52436394854556</v>
          </cell>
          <cell r="C27">
            <v>-732.55436394854553</v>
          </cell>
        </row>
        <row r="28">
          <cell r="B28">
            <v>912.52436394854556</v>
          </cell>
          <cell r="C28">
            <v>-732.55436394854553</v>
          </cell>
        </row>
        <row r="29">
          <cell r="B29">
            <v>1620.1103725245221</v>
          </cell>
          <cell r="C29">
            <v>-870.16037252452202</v>
          </cell>
        </row>
        <row r="30">
          <cell r="B30">
            <v>558.73135966055736</v>
          </cell>
          <cell r="C30">
            <v>-438.75135966055734</v>
          </cell>
        </row>
        <row r="31">
          <cell r="B31">
            <v>1620.1103725245221</v>
          </cell>
          <cell r="C31">
            <v>-870.16037252452202</v>
          </cell>
        </row>
        <row r="32">
          <cell r="B32">
            <v>912.52436394854556</v>
          </cell>
          <cell r="C32">
            <v>-732.55436394854553</v>
          </cell>
        </row>
        <row r="33">
          <cell r="B33">
            <v>912.52436394854556</v>
          </cell>
          <cell r="C33">
            <v>1787.4456360514541</v>
          </cell>
        </row>
        <row r="34">
          <cell r="B34">
            <v>912.52436394854556</v>
          </cell>
          <cell r="C34">
            <v>-732.55436394854553</v>
          </cell>
        </row>
        <row r="35">
          <cell r="B35">
            <v>204.93835537256916</v>
          </cell>
          <cell r="C35">
            <v>-54.948355372569154</v>
          </cell>
        </row>
        <row r="36">
          <cell r="B36">
            <v>1620.1103725245221</v>
          </cell>
          <cell r="C36">
            <v>-870.16037252452202</v>
          </cell>
        </row>
        <row r="37">
          <cell r="B37">
            <v>912.52436394854556</v>
          </cell>
          <cell r="C37">
            <v>-462.55436394854553</v>
          </cell>
        </row>
        <row r="38">
          <cell r="B38">
            <v>912.52436394854556</v>
          </cell>
          <cell r="C38">
            <v>-732.55436394854553</v>
          </cell>
        </row>
        <row r="39">
          <cell r="B39">
            <v>912.52436394854556</v>
          </cell>
          <cell r="C39">
            <v>1187.4456360514541</v>
          </cell>
        </row>
        <row r="40">
          <cell r="B40">
            <v>204.93835537256916</v>
          </cell>
          <cell r="C40">
            <v>695.05164462743085</v>
          </cell>
        </row>
        <row r="41">
          <cell r="B41">
            <v>1266.3173682365336</v>
          </cell>
          <cell r="C41">
            <v>-666.3573682365336</v>
          </cell>
        </row>
        <row r="42">
          <cell r="B42">
            <v>558.73135966055736</v>
          </cell>
          <cell r="C42">
            <v>841.24864033944266</v>
          </cell>
        </row>
        <row r="43">
          <cell r="B43">
            <v>1266.3173682365336</v>
          </cell>
          <cell r="C43">
            <v>2333.6426317634664</v>
          </cell>
        </row>
        <row r="44">
          <cell r="B44">
            <v>912.52436394854556</v>
          </cell>
          <cell r="C44">
            <v>-162.55436394854553</v>
          </cell>
        </row>
        <row r="45">
          <cell r="B45">
            <v>1620.1103725245221</v>
          </cell>
          <cell r="C45">
            <v>1879.8396274754778</v>
          </cell>
        </row>
        <row r="46">
          <cell r="B46">
            <v>1266.3173682365336</v>
          </cell>
          <cell r="C46">
            <v>1533.6426317634664</v>
          </cell>
        </row>
        <row r="47">
          <cell r="B47">
            <v>1266.3173682365336</v>
          </cell>
          <cell r="C47">
            <v>-266.3573682365336</v>
          </cell>
        </row>
        <row r="48">
          <cell r="B48">
            <v>1266.3173682365336</v>
          </cell>
          <cell r="C48">
            <v>-66.357368236533603</v>
          </cell>
        </row>
        <row r="49">
          <cell r="B49">
            <v>1620.1103725245221</v>
          </cell>
          <cell r="C49">
            <v>-370.16037252452202</v>
          </cell>
        </row>
        <row r="50">
          <cell r="B50">
            <v>1620.1103725245221</v>
          </cell>
          <cell r="C50">
            <v>-120.16037252452202</v>
          </cell>
        </row>
        <row r="51">
          <cell r="B51">
            <v>912.52436394854556</v>
          </cell>
          <cell r="C51">
            <v>-672.55436394854553</v>
          </cell>
        </row>
        <row r="52">
          <cell r="B52">
            <v>1620.1103725245221</v>
          </cell>
          <cell r="C52">
            <v>-1170.160372524522</v>
          </cell>
        </row>
        <row r="53">
          <cell r="B53">
            <v>558.73135966055736</v>
          </cell>
          <cell r="C53">
            <v>-438.75135966055734</v>
          </cell>
        </row>
        <row r="54">
          <cell r="B54">
            <v>1266.3173682365336</v>
          </cell>
          <cell r="C54">
            <v>-1026.3573682365336</v>
          </cell>
        </row>
        <row r="55">
          <cell r="B55">
            <v>1620.1103725245221</v>
          </cell>
          <cell r="C55">
            <v>-620.16037252452202</v>
          </cell>
        </row>
        <row r="56">
          <cell r="B56">
            <v>558.73135966055736</v>
          </cell>
          <cell r="C56">
            <v>-258.75135966055734</v>
          </cell>
        </row>
        <row r="57">
          <cell r="B57">
            <v>912.52436394854556</v>
          </cell>
          <cell r="C57">
            <v>-462.55436394854553</v>
          </cell>
        </row>
        <row r="58">
          <cell r="B58">
            <v>204.93835537256916</v>
          </cell>
          <cell r="C58">
            <v>695.05164462743085</v>
          </cell>
        </row>
        <row r="59">
          <cell r="B59">
            <v>912.52436394854556</v>
          </cell>
          <cell r="C59">
            <v>-12.554363948545529</v>
          </cell>
        </row>
        <row r="60">
          <cell r="B60">
            <v>912.52436394854556</v>
          </cell>
          <cell r="C60">
            <v>-672.55436394854553</v>
          </cell>
        </row>
        <row r="61">
          <cell r="B61">
            <v>912.52436394854556</v>
          </cell>
          <cell r="C61">
            <v>-312.55436394854553</v>
          </cell>
        </row>
        <row r="62">
          <cell r="B62">
            <v>1620.1103725245221</v>
          </cell>
          <cell r="C62">
            <v>1879.8396274754778</v>
          </cell>
        </row>
        <row r="63">
          <cell r="B63">
            <v>912.52436394854556</v>
          </cell>
          <cell r="C63">
            <v>-642.55436394854553</v>
          </cell>
        </row>
        <row r="64">
          <cell r="B64">
            <v>204.93835537256916</v>
          </cell>
          <cell r="C64">
            <v>-124.94835537256917</v>
          </cell>
        </row>
        <row r="65">
          <cell r="B65">
            <v>558.73135966055736</v>
          </cell>
          <cell r="C65">
            <v>-438.75135966055734</v>
          </cell>
        </row>
        <row r="66">
          <cell r="B66">
            <v>204.93835537256916</v>
          </cell>
          <cell r="C66">
            <v>-114.94835537256917</v>
          </cell>
        </row>
        <row r="67">
          <cell r="B67">
            <v>1620.1103725245221</v>
          </cell>
          <cell r="C67">
            <v>-1170.160372524522</v>
          </cell>
        </row>
        <row r="68">
          <cell r="B68">
            <v>1620.1103725245221</v>
          </cell>
          <cell r="C68">
            <v>-370.16037252452202</v>
          </cell>
        </row>
        <row r="69">
          <cell r="B69">
            <v>204.93835537256916</v>
          </cell>
          <cell r="C69">
            <v>-114.94835537256917</v>
          </cell>
        </row>
        <row r="70">
          <cell r="B70">
            <v>558.73135966055736</v>
          </cell>
          <cell r="C70">
            <v>-258.75135966055734</v>
          </cell>
        </row>
        <row r="71">
          <cell r="B71">
            <v>1266.3173682365336</v>
          </cell>
          <cell r="C71">
            <v>-1026.3573682365336</v>
          </cell>
        </row>
        <row r="72">
          <cell r="B72">
            <v>1620.1103725245221</v>
          </cell>
          <cell r="C72">
            <v>-1170.160372524522</v>
          </cell>
        </row>
        <row r="73">
          <cell r="B73">
            <v>558.73135966055736</v>
          </cell>
          <cell r="C73">
            <v>-378.75135966055734</v>
          </cell>
        </row>
        <row r="74">
          <cell r="B74">
            <v>1620.1103725245221</v>
          </cell>
          <cell r="C74">
            <v>2879.8396274754778</v>
          </cell>
        </row>
        <row r="75">
          <cell r="B75">
            <v>1620.1103725245221</v>
          </cell>
          <cell r="C75">
            <v>2879.8396274754778</v>
          </cell>
        </row>
        <row r="76">
          <cell r="B76">
            <v>204.93835537256916</v>
          </cell>
          <cell r="C76">
            <v>-144.94835537256915</v>
          </cell>
        </row>
        <row r="77">
          <cell r="B77">
            <v>558.73135966055736</v>
          </cell>
          <cell r="C77">
            <v>41.248640339442659</v>
          </cell>
        </row>
        <row r="78">
          <cell r="B78">
            <v>1266.3173682365336</v>
          </cell>
          <cell r="C78">
            <v>-906.3573682365336</v>
          </cell>
        </row>
        <row r="79">
          <cell r="B79">
            <v>204.93835537256916</v>
          </cell>
          <cell r="C79">
            <v>-124.94835537256917</v>
          </cell>
        </row>
        <row r="80">
          <cell r="B80">
            <v>558.73135966055736</v>
          </cell>
          <cell r="C80">
            <v>-378.75135966055734</v>
          </cell>
        </row>
        <row r="81">
          <cell r="B81">
            <v>912.52436394854556</v>
          </cell>
          <cell r="C81">
            <v>1187.4456360514541</v>
          </cell>
        </row>
        <row r="82">
          <cell r="B82">
            <v>1266.3173682365336</v>
          </cell>
          <cell r="C82">
            <v>2333.6426317634664</v>
          </cell>
        </row>
        <row r="83">
          <cell r="B83">
            <v>204.93835537256916</v>
          </cell>
          <cell r="C83">
            <v>-54.948355372569154</v>
          </cell>
        </row>
        <row r="84">
          <cell r="B84">
            <v>558.73135966055736</v>
          </cell>
          <cell r="C84">
            <v>-378.75135966055734</v>
          </cell>
        </row>
        <row r="85">
          <cell r="B85">
            <v>204.93835537256916</v>
          </cell>
          <cell r="C85">
            <v>-114.94835537256917</v>
          </cell>
        </row>
        <row r="86">
          <cell r="B86">
            <v>204.93835537256916</v>
          </cell>
          <cell r="C86">
            <v>-114.94835537256917</v>
          </cell>
        </row>
        <row r="87">
          <cell r="B87">
            <v>1620.1103725245221</v>
          </cell>
          <cell r="C87">
            <v>-1220.160372524522</v>
          </cell>
        </row>
        <row r="88">
          <cell r="B88">
            <v>204.93835537256916</v>
          </cell>
          <cell r="C88">
            <v>-54.948355372569154</v>
          </cell>
        </row>
        <row r="89">
          <cell r="B89">
            <v>558.73135966055736</v>
          </cell>
          <cell r="C89">
            <v>841.24864033944266</v>
          </cell>
        </row>
        <row r="90">
          <cell r="B90">
            <v>1620.1103725245221</v>
          </cell>
          <cell r="C90">
            <v>-1170.160372524522</v>
          </cell>
        </row>
        <row r="91">
          <cell r="B91">
            <v>1266.3173682365336</v>
          </cell>
          <cell r="C91">
            <v>-1026.3573682365336</v>
          </cell>
        </row>
        <row r="92">
          <cell r="B92">
            <v>204.93835537256916</v>
          </cell>
          <cell r="C92">
            <v>-54.948355372569154</v>
          </cell>
        </row>
        <row r="93">
          <cell r="B93">
            <v>204.93835537256916</v>
          </cell>
          <cell r="C93">
            <v>95.051644627430846</v>
          </cell>
        </row>
        <row r="94">
          <cell r="B94">
            <v>558.73135966055736</v>
          </cell>
          <cell r="C94">
            <v>-158.75135966055734</v>
          </cell>
        </row>
        <row r="95">
          <cell r="B95">
            <v>912.52436394854556</v>
          </cell>
          <cell r="C95">
            <v>-732.55436394854553</v>
          </cell>
        </row>
        <row r="96">
          <cell r="B96">
            <v>912.52436394854556</v>
          </cell>
          <cell r="C96">
            <v>-462.55436394854553</v>
          </cell>
        </row>
        <row r="97">
          <cell r="B97">
            <v>912.52436394854556</v>
          </cell>
          <cell r="C97">
            <v>-312.55436394854553</v>
          </cell>
        </row>
        <row r="98">
          <cell r="B98">
            <v>204.93835537256916</v>
          </cell>
          <cell r="C98">
            <v>695.05164462743085</v>
          </cell>
        </row>
        <row r="99">
          <cell r="B99">
            <v>1620.1103725245221</v>
          </cell>
          <cell r="C99">
            <v>2879.8396274754778</v>
          </cell>
        </row>
        <row r="100">
          <cell r="B100">
            <v>558.73135966055736</v>
          </cell>
          <cell r="C100">
            <v>-438.75135966055734</v>
          </cell>
        </row>
        <row r="101">
          <cell r="B101">
            <v>1266.3173682365336</v>
          </cell>
          <cell r="C101">
            <v>-266.3573682365336</v>
          </cell>
        </row>
        <row r="102">
          <cell r="B102">
            <v>558.73135966055736</v>
          </cell>
          <cell r="C102">
            <v>-58.751359660557341</v>
          </cell>
        </row>
        <row r="103">
          <cell r="B103">
            <v>204.93835537256916</v>
          </cell>
          <cell r="C103">
            <v>95.051644627430846</v>
          </cell>
        </row>
        <row r="104">
          <cell r="B104">
            <v>558.73135966055736</v>
          </cell>
          <cell r="C104">
            <v>-378.75135966055734</v>
          </cell>
        </row>
        <row r="105">
          <cell r="B105">
            <v>912.52436394854556</v>
          </cell>
          <cell r="C105">
            <v>-12.554363948545529</v>
          </cell>
        </row>
        <row r="106">
          <cell r="B106">
            <v>558.73135966055736</v>
          </cell>
          <cell r="C106">
            <v>841.24864033944266</v>
          </cell>
        </row>
        <row r="107">
          <cell r="B107">
            <v>1266.3173682365336</v>
          </cell>
          <cell r="C107">
            <v>2333.6426317634664</v>
          </cell>
        </row>
        <row r="108">
          <cell r="B108">
            <v>558.73135966055736</v>
          </cell>
          <cell r="C108">
            <v>-258.75135966055734</v>
          </cell>
        </row>
        <row r="109">
          <cell r="B109">
            <v>558.73135966055736</v>
          </cell>
          <cell r="C109">
            <v>-258.75135966055734</v>
          </cell>
        </row>
        <row r="110">
          <cell r="B110">
            <v>204.93835537256916</v>
          </cell>
          <cell r="C110">
            <v>-114.94835537256917</v>
          </cell>
        </row>
        <row r="111">
          <cell r="B111">
            <v>1620.1103725245221</v>
          </cell>
          <cell r="C111">
            <v>-120.16037252452202</v>
          </cell>
        </row>
        <row r="112">
          <cell r="B112">
            <v>1266.3173682365336</v>
          </cell>
          <cell r="C112">
            <v>-666.3573682365336</v>
          </cell>
        </row>
        <row r="113">
          <cell r="B113">
            <v>1620.1103725245221</v>
          </cell>
          <cell r="C113">
            <v>-370.16037252452202</v>
          </cell>
        </row>
        <row r="114">
          <cell r="B114">
            <v>912.52436394854556</v>
          </cell>
          <cell r="C114">
            <v>-162.55436394854553</v>
          </cell>
        </row>
        <row r="115">
          <cell r="B115">
            <v>1266.3173682365336</v>
          </cell>
          <cell r="C115">
            <v>-466.3573682365336</v>
          </cell>
        </row>
        <row r="116">
          <cell r="B116">
            <v>1620.1103725245221</v>
          </cell>
          <cell r="C116">
            <v>-620.16037252452202</v>
          </cell>
        </row>
        <row r="117">
          <cell r="B117">
            <v>558.73135966055736</v>
          </cell>
          <cell r="C117">
            <v>-378.75135966055734</v>
          </cell>
        </row>
        <row r="118">
          <cell r="B118">
            <v>1620.1103725245221</v>
          </cell>
          <cell r="C118">
            <v>2879.8396274754778</v>
          </cell>
        </row>
        <row r="119">
          <cell r="B119">
            <v>912.52436394854556</v>
          </cell>
          <cell r="C119">
            <v>-462.55436394854553</v>
          </cell>
        </row>
        <row r="120">
          <cell r="B120">
            <v>1620.1103725245221</v>
          </cell>
          <cell r="C120">
            <v>-870.16037252452202</v>
          </cell>
        </row>
        <row r="121">
          <cell r="B121">
            <v>912.52436394854556</v>
          </cell>
          <cell r="C121">
            <v>-672.55436394854553</v>
          </cell>
        </row>
        <row r="122">
          <cell r="B122">
            <v>558.73135966055736</v>
          </cell>
          <cell r="C122">
            <v>-58.751359660557341</v>
          </cell>
        </row>
        <row r="123">
          <cell r="B123">
            <v>204.93835537256916</v>
          </cell>
          <cell r="C123">
            <v>495.05164462743085</v>
          </cell>
        </row>
        <row r="124">
          <cell r="B124">
            <v>912.52436394854556</v>
          </cell>
          <cell r="C124">
            <v>-462.55436394854553</v>
          </cell>
        </row>
        <row r="125">
          <cell r="B125">
            <v>558.73135966055736</v>
          </cell>
          <cell r="C125">
            <v>841.24864033944266</v>
          </cell>
        </row>
        <row r="126">
          <cell r="B126">
            <v>204.93835537256916</v>
          </cell>
          <cell r="C126">
            <v>45.051644627430846</v>
          </cell>
        </row>
        <row r="127">
          <cell r="B127">
            <v>204.93835537256916</v>
          </cell>
          <cell r="C127">
            <v>45.051644627430846</v>
          </cell>
        </row>
        <row r="128">
          <cell r="B128">
            <v>558.73135966055736</v>
          </cell>
          <cell r="C128">
            <v>841.24864033944266</v>
          </cell>
        </row>
        <row r="129">
          <cell r="B129">
            <v>912.52436394854556</v>
          </cell>
          <cell r="C129">
            <v>-732.55436394854553</v>
          </cell>
        </row>
        <row r="130">
          <cell r="B130">
            <v>912.52436394854556</v>
          </cell>
          <cell r="C130">
            <v>-732.55436394854553</v>
          </cell>
        </row>
        <row r="131">
          <cell r="B131">
            <v>1266.3173682365336</v>
          </cell>
          <cell r="C131">
            <v>-946.3573682365336</v>
          </cell>
        </row>
        <row r="132">
          <cell r="B132">
            <v>204.93835537256916</v>
          </cell>
          <cell r="C132">
            <v>-124.94835537256917</v>
          </cell>
        </row>
        <row r="133">
          <cell r="B133">
            <v>912.52436394854556</v>
          </cell>
          <cell r="C133">
            <v>-12.554363948545529</v>
          </cell>
        </row>
        <row r="134">
          <cell r="B134">
            <v>558.73135966055736</v>
          </cell>
          <cell r="C134">
            <v>-378.75135966055734</v>
          </cell>
        </row>
        <row r="135">
          <cell r="B135">
            <v>1266.3173682365336</v>
          </cell>
          <cell r="C135">
            <v>-666.3573682365336</v>
          </cell>
        </row>
        <row r="136">
          <cell r="B136">
            <v>558.73135966055736</v>
          </cell>
          <cell r="C136">
            <v>-58.751359660557341</v>
          </cell>
        </row>
        <row r="137">
          <cell r="B137">
            <v>1266.3173682365336</v>
          </cell>
          <cell r="C137">
            <v>-466.3573682365336</v>
          </cell>
        </row>
        <row r="138">
          <cell r="B138">
            <v>1620.1103725245221</v>
          </cell>
          <cell r="C138">
            <v>-1170.160372524522</v>
          </cell>
        </row>
        <row r="139">
          <cell r="B139">
            <v>204.93835537256916</v>
          </cell>
          <cell r="C139">
            <v>-54.948355372569154</v>
          </cell>
        </row>
        <row r="140">
          <cell r="B140">
            <v>1266.3173682365336</v>
          </cell>
          <cell r="C140">
            <v>1533.6426317634664</v>
          </cell>
        </row>
        <row r="141">
          <cell r="B141">
            <v>912.52436394854556</v>
          </cell>
          <cell r="C141">
            <v>1787.4456360514541</v>
          </cell>
        </row>
        <row r="142">
          <cell r="B142">
            <v>912.52436394854556</v>
          </cell>
          <cell r="C142">
            <v>-462.55436394854553</v>
          </cell>
        </row>
        <row r="143">
          <cell r="B143">
            <v>558.73135966055736</v>
          </cell>
          <cell r="C143">
            <v>41.248640339442659</v>
          </cell>
        </row>
        <row r="144">
          <cell r="B144">
            <v>204.93835537256916</v>
          </cell>
          <cell r="C144">
            <v>-4.9483553725691536</v>
          </cell>
        </row>
        <row r="145">
          <cell r="B145">
            <v>1266.3173682365336</v>
          </cell>
          <cell r="C145">
            <v>-66.357368236533603</v>
          </cell>
        </row>
        <row r="146">
          <cell r="B146">
            <v>558.73135966055736</v>
          </cell>
          <cell r="C146">
            <v>-438.75135966055734</v>
          </cell>
        </row>
        <row r="147">
          <cell r="B147">
            <v>1266.3173682365336</v>
          </cell>
          <cell r="C147">
            <v>-666.3573682365336</v>
          </cell>
        </row>
        <row r="148">
          <cell r="B148">
            <v>558.73135966055736</v>
          </cell>
          <cell r="C148">
            <v>841.24864033944266</v>
          </cell>
        </row>
        <row r="149">
          <cell r="B149">
            <v>912.52436394854556</v>
          </cell>
          <cell r="C149">
            <v>-462.55436394854553</v>
          </cell>
        </row>
        <row r="150">
          <cell r="B150">
            <v>912.52436394854556</v>
          </cell>
          <cell r="C150">
            <v>-12.554363948545529</v>
          </cell>
        </row>
        <row r="151">
          <cell r="B151">
            <v>912.52436394854556</v>
          </cell>
          <cell r="C151">
            <v>1787.4456360514541</v>
          </cell>
        </row>
        <row r="152">
          <cell r="B152">
            <v>1620.1103725245221</v>
          </cell>
          <cell r="C152">
            <v>1879.8396274754778</v>
          </cell>
        </row>
        <row r="153">
          <cell r="B153">
            <v>1266.3173682365336</v>
          </cell>
          <cell r="C153">
            <v>1533.6426317634664</v>
          </cell>
        </row>
        <row r="154">
          <cell r="B154">
            <v>204.93835537256916</v>
          </cell>
          <cell r="C154">
            <v>695.05164462743085</v>
          </cell>
        </row>
        <row r="155">
          <cell r="B155">
            <v>558.73135966055736</v>
          </cell>
          <cell r="C155">
            <v>-258.75135966055734</v>
          </cell>
        </row>
        <row r="156">
          <cell r="B156">
            <v>912.52436394854556</v>
          </cell>
          <cell r="C156">
            <v>-642.55436394854553</v>
          </cell>
        </row>
        <row r="157">
          <cell r="B157">
            <v>558.73135966055736</v>
          </cell>
          <cell r="C157">
            <v>-258.75135966055734</v>
          </cell>
        </row>
        <row r="158">
          <cell r="B158">
            <v>558.73135966055736</v>
          </cell>
          <cell r="C158">
            <v>841.24864033944266</v>
          </cell>
        </row>
        <row r="159">
          <cell r="B159">
            <v>1620.1103725245221</v>
          </cell>
          <cell r="C159">
            <v>1879.8396274754778</v>
          </cell>
        </row>
        <row r="160">
          <cell r="B160">
            <v>912.52436394854556</v>
          </cell>
          <cell r="C160">
            <v>-642.55436394854553</v>
          </cell>
        </row>
        <row r="161">
          <cell r="B161">
            <v>1620.1103725245221</v>
          </cell>
          <cell r="C161">
            <v>-370.16037252452202</v>
          </cell>
        </row>
        <row r="162">
          <cell r="B162">
            <v>912.52436394854556</v>
          </cell>
          <cell r="C162">
            <v>-12.554363948545529</v>
          </cell>
        </row>
        <row r="163">
          <cell r="B163">
            <v>912.52436394854556</v>
          </cell>
          <cell r="C163">
            <v>-642.55436394854553</v>
          </cell>
        </row>
        <row r="164">
          <cell r="B164">
            <v>558.73135966055736</v>
          </cell>
          <cell r="C164">
            <v>-258.75135966055734</v>
          </cell>
        </row>
        <row r="165">
          <cell r="B165">
            <v>204.93835537256916</v>
          </cell>
          <cell r="C165">
            <v>45.051644627430846</v>
          </cell>
        </row>
        <row r="166">
          <cell r="B166">
            <v>912.52436394854556</v>
          </cell>
          <cell r="C166">
            <v>-462.55436394854553</v>
          </cell>
        </row>
        <row r="167">
          <cell r="B167">
            <v>1620.1103725245221</v>
          </cell>
          <cell r="C167">
            <v>-1320.160372524522</v>
          </cell>
        </row>
        <row r="168">
          <cell r="B168">
            <v>1266.3173682365336</v>
          </cell>
          <cell r="C168">
            <v>-266.3573682365336</v>
          </cell>
        </row>
        <row r="169">
          <cell r="B169">
            <v>1620.1103725245221</v>
          </cell>
          <cell r="C169">
            <v>-870.16037252452202</v>
          </cell>
        </row>
        <row r="170">
          <cell r="B170">
            <v>912.52436394854556</v>
          </cell>
          <cell r="C170">
            <v>-732.55436394854553</v>
          </cell>
        </row>
        <row r="171">
          <cell r="B171">
            <v>1620.1103725245221</v>
          </cell>
          <cell r="C171">
            <v>-870.16037252452202</v>
          </cell>
        </row>
        <row r="172">
          <cell r="B172">
            <v>558.73135966055736</v>
          </cell>
          <cell r="C172">
            <v>841.24864033944266</v>
          </cell>
        </row>
        <row r="173">
          <cell r="B173">
            <v>1266.3173682365336</v>
          </cell>
          <cell r="C173">
            <v>-466.3573682365336</v>
          </cell>
        </row>
        <row r="174">
          <cell r="B174">
            <v>204.93835537256916</v>
          </cell>
          <cell r="C174">
            <v>-144.94835537256915</v>
          </cell>
        </row>
        <row r="175">
          <cell r="B175">
            <v>912.52436394854556</v>
          </cell>
          <cell r="C175">
            <v>1187.4456360514541</v>
          </cell>
        </row>
        <row r="176">
          <cell r="B176">
            <v>1620.1103725245221</v>
          </cell>
          <cell r="C176">
            <v>-370.16037252452202</v>
          </cell>
        </row>
        <row r="177">
          <cell r="B177">
            <v>558.73135966055736</v>
          </cell>
          <cell r="C177">
            <v>-258.75135966055734</v>
          </cell>
        </row>
        <row r="178">
          <cell r="B178">
            <v>912.52436394854556</v>
          </cell>
          <cell r="C178">
            <v>-12.554363948545529</v>
          </cell>
        </row>
        <row r="179">
          <cell r="B179">
            <v>1620.1103725245221</v>
          </cell>
          <cell r="C179">
            <v>-370.16037252452202</v>
          </cell>
        </row>
        <row r="180">
          <cell r="B180">
            <v>558.73135966055736</v>
          </cell>
          <cell r="C180">
            <v>-258.75135966055734</v>
          </cell>
        </row>
        <row r="181">
          <cell r="B181">
            <v>1620.1103725245221</v>
          </cell>
          <cell r="C181">
            <v>1879.8396274754778</v>
          </cell>
        </row>
        <row r="182">
          <cell r="B182">
            <v>1266.3173682365336</v>
          </cell>
          <cell r="C182">
            <v>-266.3573682365336</v>
          </cell>
        </row>
        <row r="183">
          <cell r="B183">
            <v>1266.3173682365336</v>
          </cell>
          <cell r="C183">
            <v>1533.6426317634664</v>
          </cell>
        </row>
        <row r="184">
          <cell r="B184">
            <v>558.73135966055736</v>
          </cell>
          <cell r="C184">
            <v>-58.751359660557341</v>
          </cell>
        </row>
        <row r="185">
          <cell r="B185">
            <v>912.52436394854556</v>
          </cell>
          <cell r="C185">
            <v>-732.55436394854553</v>
          </cell>
        </row>
        <row r="186">
          <cell r="B186">
            <v>1266.3173682365336</v>
          </cell>
          <cell r="C186">
            <v>-946.3573682365336</v>
          </cell>
        </row>
        <row r="187">
          <cell r="B187">
            <v>912.52436394854556</v>
          </cell>
          <cell r="C187">
            <v>-672.55436394854553</v>
          </cell>
        </row>
        <row r="188">
          <cell r="B188">
            <v>558.73135966055736</v>
          </cell>
          <cell r="C188">
            <v>1241.2486403394428</v>
          </cell>
        </row>
        <row r="189">
          <cell r="B189">
            <v>204.93835537256916</v>
          </cell>
          <cell r="C189">
            <v>-54.948355372569154</v>
          </cell>
        </row>
        <row r="190">
          <cell r="B190">
            <v>558.73135966055736</v>
          </cell>
          <cell r="C190">
            <v>41.248640339442659</v>
          </cell>
        </row>
        <row r="191">
          <cell r="B191">
            <v>558.73135966055736</v>
          </cell>
          <cell r="C191">
            <v>-438.75135966055734</v>
          </cell>
        </row>
        <row r="192">
          <cell r="B192">
            <v>204.93835537256916</v>
          </cell>
          <cell r="C192">
            <v>-114.94835537256917</v>
          </cell>
        </row>
        <row r="193">
          <cell r="B193">
            <v>1620.1103725245221</v>
          </cell>
          <cell r="C193">
            <v>2879.8396274754778</v>
          </cell>
        </row>
        <row r="194">
          <cell r="B194">
            <v>558.73135966055736</v>
          </cell>
          <cell r="C194">
            <v>-258.75135966055734</v>
          </cell>
        </row>
        <row r="195">
          <cell r="B195">
            <v>558.73135966055736</v>
          </cell>
          <cell r="C195">
            <v>-258.75135966055734</v>
          </cell>
        </row>
        <row r="196">
          <cell r="B196">
            <v>912.52436394854556</v>
          </cell>
          <cell r="C196">
            <v>-462.55436394854553</v>
          </cell>
        </row>
        <row r="197">
          <cell r="B197">
            <v>558.73135966055736</v>
          </cell>
          <cell r="C197">
            <v>41.248640339442659</v>
          </cell>
        </row>
        <row r="198">
          <cell r="B198">
            <v>558.73135966055736</v>
          </cell>
          <cell r="C198">
            <v>41.248640339442659</v>
          </cell>
        </row>
        <row r="199">
          <cell r="B199">
            <v>1266.3173682365336</v>
          </cell>
          <cell r="C199">
            <v>-466.3573682365336</v>
          </cell>
        </row>
        <row r="200">
          <cell r="B200">
            <v>204.93835537256916</v>
          </cell>
          <cell r="C200">
            <v>-114.94835537256917</v>
          </cell>
        </row>
        <row r="201">
          <cell r="B201">
            <v>1620.1103725245221</v>
          </cell>
          <cell r="C201">
            <v>-870.16037252452202</v>
          </cell>
        </row>
        <row r="202">
          <cell r="B202">
            <v>204.93835537256916</v>
          </cell>
          <cell r="C202">
            <v>695.05164462743085</v>
          </cell>
        </row>
        <row r="203">
          <cell r="B203">
            <v>558.73135966055736</v>
          </cell>
          <cell r="C203">
            <v>-378.75135966055734</v>
          </cell>
        </row>
        <row r="204">
          <cell r="B204">
            <v>204.93835537256916</v>
          </cell>
          <cell r="C204">
            <v>695.05164462743085</v>
          </cell>
        </row>
        <row r="205">
          <cell r="B205">
            <v>1620.1103725245221</v>
          </cell>
          <cell r="C205">
            <v>-870.16037252452202</v>
          </cell>
        </row>
        <row r="206">
          <cell r="B206">
            <v>912.52436394854556</v>
          </cell>
          <cell r="C206">
            <v>-12.554363948545529</v>
          </cell>
        </row>
        <row r="207">
          <cell r="B207">
            <v>912.52436394854556</v>
          </cell>
          <cell r="C207">
            <v>1187.4456360514541</v>
          </cell>
        </row>
        <row r="208">
          <cell r="B208">
            <v>1620.1103725245221</v>
          </cell>
          <cell r="C208">
            <v>-620.16037252452202</v>
          </cell>
        </row>
        <row r="209">
          <cell r="B209">
            <v>1620.1103725245221</v>
          </cell>
          <cell r="C209">
            <v>-370.16037252452202</v>
          </cell>
        </row>
        <row r="210">
          <cell r="B210">
            <v>1266.3173682365336</v>
          </cell>
          <cell r="C210">
            <v>-666.3573682365336</v>
          </cell>
        </row>
        <row r="211">
          <cell r="B211">
            <v>912.52436394854556</v>
          </cell>
          <cell r="C211">
            <v>1187.4456360514541</v>
          </cell>
        </row>
        <row r="212">
          <cell r="B212">
            <v>204.93835537256916</v>
          </cell>
          <cell r="C212">
            <v>-124.94835537256917</v>
          </cell>
        </row>
        <row r="213">
          <cell r="B213">
            <v>204.93835537256916</v>
          </cell>
          <cell r="C213">
            <v>95.051644627430846</v>
          </cell>
        </row>
        <row r="214">
          <cell r="B214">
            <v>1266.3173682365336</v>
          </cell>
          <cell r="C214">
            <v>-266.3573682365336</v>
          </cell>
        </row>
        <row r="215">
          <cell r="B215">
            <v>558.73135966055736</v>
          </cell>
          <cell r="C215">
            <v>-258.75135966055734</v>
          </cell>
        </row>
        <row r="216">
          <cell r="B216">
            <v>912.52436394854556</v>
          </cell>
          <cell r="C216">
            <v>-12.554363948545529</v>
          </cell>
        </row>
        <row r="217">
          <cell r="B217">
            <v>1266.3173682365336</v>
          </cell>
          <cell r="C217">
            <v>-466.3573682365336</v>
          </cell>
        </row>
        <row r="218">
          <cell r="B218">
            <v>1620.1103725245221</v>
          </cell>
          <cell r="C218">
            <v>-120.16037252452202</v>
          </cell>
        </row>
        <row r="219">
          <cell r="B219">
            <v>912.52436394854556</v>
          </cell>
          <cell r="C219">
            <v>-462.55436394854553</v>
          </cell>
        </row>
        <row r="220">
          <cell r="B220">
            <v>1620.1103725245221</v>
          </cell>
          <cell r="C220">
            <v>-1320.160372524522</v>
          </cell>
        </row>
        <row r="221">
          <cell r="B221">
            <v>1266.3173682365336</v>
          </cell>
          <cell r="C221">
            <v>-1026.3573682365336</v>
          </cell>
        </row>
        <row r="222">
          <cell r="B222">
            <v>1266.3173682365336</v>
          </cell>
          <cell r="C222">
            <v>-266.3573682365336</v>
          </cell>
        </row>
        <row r="223">
          <cell r="B223">
            <v>1266.3173682365336</v>
          </cell>
          <cell r="C223">
            <v>2333.6426317634664</v>
          </cell>
        </row>
        <row r="224">
          <cell r="B224">
            <v>912.52436394854556</v>
          </cell>
          <cell r="C224">
            <v>-12.554363948545529</v>
          </cell>
        </row>
        <row r="225">
          <cell r="B225">
            <v>558.73135966055736</v>
          </cell>
          <cell r="C225">
            <v>841.24864033944266</v>
          </cell>
        </row>
        <row r="226">
          <cell r="B226">
            <v>1266.3173682365336</v>
          </cell>
          <cell r="C226">
            <v>1533.6426317634664</v>
          </cell>
        </row>
        <row r="227">
          <cell r="B227">
            <v>558.73135966055736</v>
          </cell>
          <cell r="C227">
            <v>-378.75135966055734</v>
          </cell>
        </row>
        <row r="228">
          <cell r="B228">
            <v>912.52436394854556</v>
          </cell>
          <cell r="C228">
            <v>-642.55436394854553</v>
          </cell>
        </row>
        <row r="229">
          <cell r="B229">
            <v>204.93835537256916</v>
          </cell>
          <cell r="C229">
            <v>-144.94835537256915</v>
          </cell>
        </row>
        <row r="230">
          <cell r="B230">
            <v>912.52436394854556</v>
          </cell>
          <cell r="C230">
            <v>-462.55436394854553</v>
          </cell>
        </row>
        <row r="231">
          <cell r="B231">
            <v>1620.1103725245221</v>
          </cell>
          <cell r="C231">
            <v>-120.16037252452202</v>
          </cell>
        </row>
        <row r="232">
          <cell r="B232">
            <v>1620.1103725245221</v>
          </cell>
          <cell r="C232">
            <v>-1320.160372524522</v>
          </cell>
        </row>
        <row r="233">
          <cell r="B233">
            <v>912.52436394854556</v>
          </cell>
          <cell r="C233">
            <v>-672.55436394854553</v>
          </cell>
        </row>
        <row r="234">
          <cell r="B234">
            <v>912.52436394854556</v>
          </cell>
          <cell r="C234">
            <v>-312.55436394854553</v>
          </cell>
        </row>
        <row r="235">
          <cell r="B235">
            <v>558.73135966055736</v>
          </cell>
          <cell r="C235">
            <v>-378.75135966055734</v>
          </cell>
        </row>
        <row r="236">
          <cell r="B236">
            <v>558.73135966055736</v>
          </cell>
          <cell r="C236">
            <v>-258.75135966055734</v>
          </cell>
        </row>
        <row r="237">
          <cell r="B237">
            <v>1620.1103725245221</v>
          </cell>
          <cell r="C237">
            <v>1879.8396274754778</v>
          </cell>
        </row>
        <row r="238">
          <cell r="B238">
            <v>912.52436394854556</v>
          </cell>
          <cell r="C238">
            <v>-462.55436394854553</v>
          </cell>
        </row>
        <row r="239">
          <cell r="B239">
            <v>912.52436394854556</v>
          </cell>
          <cell r="C239">
            <v>1787.4456360514541</v>
          </cell>
        </row>
        <row r="240">
          <cell r="B240">
            <v>912.52436394854556</v>
          </cell>
          <cell r="C240">
            <v>-312.55436394854553</v>
          </cell>
        </row>
        <row r="241">
          <cell r="B241">
            <v>1620.1103725245221</v>
          </cell>
          <cell r="C241">
            <v>-120.16037252452202</v>
          </cell>
        </row>
        <row r="242">
          <cell r="B242">
            <v>204.93835537256916</v>
          </cell>
          <cell r="C242">
            <v>495.05164462743085</v>
          </cell>
        </row>
        <row r="243">
          <cell r="B243">
            <v>204.93835537256916</v>
          </cell>
          <cell r="C243">
            <v>495.05164462743085</v>
          </cell>
        </row>
        <row r="244">
          <cell r="B244">
            <v>1266.3173682365336</v>
          </cell>
          <cell r="C244">
            <v>-666.3573682365336</v>
          </cell>
        </row>
        <row r="245">
          <cell r="B245">
            <v>1620.1103725245221</v>
          </cell>
          <cell r="C245">
            <v>-1170.160372524522</v>
          </cell>
        </row>
        <row r="246">
          <cell r="B246">
            <v>558.73135966055736</v>
          </cell>
          <cell r="C246">
            <v>-158.75135966055734</v>
          </cell>
        </row>
        <row r="247">
          <cell r="B247">
            <v>1266.3173682365336</v>
          </cell>
          <cell r="C247">
            <v>-1026.3573682365336</v>
          </cell>
        </row>
        <row r="248">
          <cell r="B248">
            <v>558.73135966055736</v>
          </cell>
          <cell r="C248">
            <v>41.248640339442659</v>
          </cell>
        </row>
        <row r="249">
          <cell r="B249">
            <v>558.73135966055736</v>
          </cell>
          <cell r="C249">
            <v>-258.75135966055734</v>
          </cell>
        </row>
        <row r="250">
          <cell r="B250">
            <v>1620.1103725245221</v>
          </cell>
          <cell r="C250">
            <v>1879.8396274754778</v>
          </cell>
        </row>
        <row r="251">
          <cell r="B251">
            <v>1620.1103725245221</v>
          </cell>
          <cell r="C251">
            <v>-1320.160372524522</v>
          </cell>
        </row>
        <row r="252">
          <cell r="B252">
            <v>558.73135966055736</v>
          </cell>
          <cell r="C252">
            <v>-378.75135966055734</v>
          </cell>
        </row>
        <row r="253">
          <cell r="B253">
            <v>1620.1103725245221</v>
          </cell>
          <cell r="C253">
            <v>-370.16037252452202</v>
          </cell>
        </row>
        <row r="254">
          <cell r="B254">
            <v>558.73135966055736</v>
          </cell>
          <cell r="C254">
            <v>-258.75135966055734</v>
          </cell>
        </row>
        <row r="255">
          <cell r="B255">
            <v>1620.1103725245221</v>
          </cell>
          <cell r="C255">
            <v>2879.8396274754778</v>
          </cell>
        </row>
        <row r="256">
          <cell r="B256">
            <v>1266.3173682365336</v>
          </cell>
          <cell r="C256">
            <v>-666.3573682365336</v>
          </cell>
        </row>
        <row r="257">
          <cell r="B257">
            <v>204.93835537256916</v>
          </cell>
          <cell r="C257">
            <v>45.051644627430846</v>
          </cell>
        </row>
        <row r="258">
          <cell r="B258">
            <v>558.73135966055736</v>
          </cell>
          <cell r="C258">
            <v>-438.75135966055734</v>
          </cell>
        </row>
        <row r="259">
          <cell r="B259">
            <v>558.73135966055736</v>
          </cell>
          <cell r="C259">
            <v>-258.75135966055734</v>
          </cell>
        </row>
        <row r="260">
          <cell r="B260">
            <v>912.52436394854556</v>
          </cell>
          <cell r="C260">
            <v>1787.4456360514541</v>
          </cell>
        </row>
        <row r="261">
          <cell r="B261">
            <v>912.52436394854556</v>
          </cell>
          <cell r="C261">
            <v>1787.4456360514541</v>
          </cell>
        </row>
        <row r="262">
          <cell r="B262">
            <v>912.52436394854556</v>
          </cell>
          <cell r="C262">
            <v>-12.554363948545529</v>
          </cell>
        </row>
        <row r="263">
          <cell r="B263">
            <v>1266.3173682365336</v>
          </cell>
          <cell r="C263">
            <v>-666.3573682365336</v>
          </cell>
        </row>
        <row r="264">
          <cell r="B264">
            <v>1266.3173682365336</v>
          </cell>
          <cell r="C264">
            <v>-946.3573682365336</v>
          </cell>
        </row>
        <row r="265">
          <cell r="B265">
            <v>1620.1103725245221</v>
          </cell>
          <cell r="C265">
            <v>-1170.160372524522</v>
          </cell>
        </row>
        <row r="266">
          <cell r="B266">
            <v>912.52436394854556</v>
          </cell>
          <cell r="C266">
            <v>-462.55436394854553</v>
          </cell>
        </row>
        <row r="267">
          <cell r="B267">
            <v>558.73135966055736</v>
          </cell>
          <cell r="C267">
            <v>-378.75135966055734</v>
          </cell>
        </row>
        <row r="268">
          <cell r="B268">
            <v>558.73135966055736</v>
          </cell>
          <cell r="C268">
            <v>841.24864033944266</v>
          </cell>
        </row>
        <row r="269">
          <cell r="B269">
            <v>912.52436394854556</v>
          </cell>
          <cell r="C269">
            <v>1787.4456360514541</v>
          </cell>
        </row>
        <row r="270">
          <cell r="B270">
            <v>912.52436394854556</v>
          </cell>
          <cell r="C270">
            <v>-672.55436394854553</v>
          </cell>
        </row>
        <row r="271">
          <cell r="B271">
            <v>204.93835537256916</v>
          </cell>
          <cell r="C271">
            <v>-114.94835537256917</v>
          </cell>
        </row>
        <row r="272">
          <cell r="B272">
            <v>912.52436394854556</v>
          </cell>
          <cell r="C272">
            <v>1187.4456360514541</v>
          </cell>
        </row>
        <row r="273">
          <cell r="B273">
            <v>558.73135966055736</v>
          </cell>
          <cell r="C273">
            <v>-378.75135966055734</v>
          </cell>
        </row>
        <row r="274">
          <cell r="B274">
            <v>912.52436394854556</v>
          </cell>
          <cell r="C274">
            <v>-642.55436394854553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Gandhi" refreshedDate="46212.917738657408" createdVersion="7" refreshedVersion="7" minRefreshableVersion="3" recordCount="250" xr:uid="{B3D02E42-ABF2-4F86-86EC-5B6E68E94730}">
  <cacheSource type="worksheet">
    <worksheetSource name="Sales_Data"/>
  </cacheSource>
  <cacheFields count="21">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49">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 numFmtId="0">
      <sharedItems count="13">
        <s v="Apr-2024"/>
        <s v="May-2024"/>
        <s v="Jun-2024"/>
        <s v="Jul-2024"/>
        <s v="Aug-2024"/>
        <s v="Sep-2024"/>
        <s v="Oct-2024"/>
        <s v="Nov-2024"/>
        <s v="Dec-2024"/>
        <s v="Jan-2025"/>
        <s v="Feb-2025"/>
        <s v="Mar-2025"/>
        <s v="Apr-2025"/>
      </sharedItems>
    </cacheField>
    <cacheField name="Year" numFmtId="0">
      <sharedItems containsSemiMixedTypes="0" containsString="0" containsNumber="1" containsInteger="1" minValue="2024" maxValue="2025"/>
    </cacheField>
    <cacheField name="Customer Age Days" numFmtId="2">
      <sharedItems containsSemiMixedTypes="0" containsString="0" containsNumber="1" containsInteger="1" minValue="819" maxValue="1817"/>
    </cacheField>
    <cacheField name="Customer Tenure" numFmtId="0">
      <sharedItems containsSemiMixedTypes="0" containsString="0" containsNumber="1" containsInteger="1" minValue="2" maxValue="4"/>
    </cacheField>
    <cacheField name="Transaction Month End" numFmtId="164">
      <sharedItems containsSemiMixedTypes="0" containsNonDate="0" containsDate="1" containsString="0" minDate="2024-04-30T00:00:00" maxDate="2025-05-01T00:00:00"/>
    </cacheField>
    <cacheField name="High Value Customer" numFmtId="0">
      <sharedItems count="2">
        <s v="Normal"/>
        <s v="High Value"/>
      </sharedItems>
    </cacheField>
    <cacheField name="Timestamp" numFmtId="22">
      <sharedItems containsSemiMixedTypes="0" containsNonDate="0" containsDate="1" containsString="0" minDate="2026-07-09T21:56:45" maxDate="2026-07-09T21:56:45"/>
    </cacheField>
  </cacheFields>
  <extLst>
    <ext xmlns:x14="http://schemas.microsoft.com/office/spreadsheetml/2009/9/main" uri="{725AE2AE-9491-48be-B2B4-4EB974FC3084}">
      <x14:pivotCacheDefinition pivotCacheId="1723882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s v="P009"/>
    <x v="0"/>
    <x v="0"/>
    <n v="3"/>
    <n v="249.99"/>
    <x v="0"/>
    <x v="0"/>
    <x v="0"/>
    <d v="2021-08-17T00:00:00"/>
    <n v="749.97"/>
    <x v="0"/>
    <n v="2024"/>
    <n v="1787"/>
    <n v="4"/>
    <d v="2024-04-30T00:00:00"/>
    <x v="0"/>
    <d v="2026-07-09T21:56:45"/>
  </r>
  <r>
    <x v="1"/>
    <x v="1"/>
    <x v="1"/>
    <x v="1"/>
    <s v="P009"/>
    <x v="0"/>
    <x v="0"/>
    <n v="3"/>
    <n v="249.99"/>
    <x v="1"/>
    <x v="0"/>
    <x v="1"/>
    <d v="2022-01-14T00:00:00"/>
    <n v="749.97"/>
    <x v="0"/>
    <n v="2024"/>
    <n v="1637"/>
    <n v="4"/>
    <d v="2024-04-30T00:00:00"/>
    <x v="0"/>
    <d v="2026-07-09T21:56:45"/>
  </r>
  <r>
    <x v="2"/>
    <x v="2"/>
    <x v="2"/>
    <x v="2"/>
    <s v="P005"/>
    <x v="1"/>
    <x v="1"/>
    <n v="3"/>
    <n v="59.99"/>
    <x v="2"/>
    <x v="1"/>
    <x v="2"/>
    <d v="2023-12-02T00:00:00"/>
    <n v="179.97"/>
    <x v="0"/>
    <n v="2024"/>
    <n v="950"/>
    <n v="2"/>
    <d v="2024-04-30T00:00:00"/>
    <x v="0"/>
    <d v="2026-07-09T21:56:45"/>
  </r>
  <r>
    <x v="3"/>
    <x v="3"/>
    <x v="3"/>
    <x v="3"/>
    <s v="P005"/>
    <x v="1"/>
    <x v="1"/>
    <n v="3"/>
    <n v="59.99"/>
    <x v="0"/>
    <x v="2"/>
    <x v="1"/>
    <d v="2023-07-07T00:00:00"/>
    <n v="179.97"/>
    <x v="0"/>
    <n v="2024"/>
    <n v="1098"/>
    <n v="3"/>
    <d v="2024-04-30T00:00:00"/>
    <x v="0"/>
    <d v="2026-07-09T21:56:45"/>
  </r>
  <r>
    <x v="4"/>
    <x v="3"/>
    <x v="4"/>
    <x v="4"/>
    <s v="P008"/>
    <x v="2"/>
    <x v="2"/>
    <n v="5"/>
    <n v="149.99"/>
    <x v="1"/>
    <x v="2"/>
    <x v="1"/>
    <d v="2024-01-04T00:00:00"/>
    <n v="749.95"/>
    <x v="0"/>
    <n v="2024"/>
    <n v="917"/>
    <n v="2"/>
    <d v="2024-04-30T00:00:00"/>
    <x v="0"/>
    <d v="2026-07-09T21:56:45"/>
  </r>
  <r>
    <x v="5"/>
    <x v="4"/>
    <x v="5"/>
    <x v="5"/>
    <s v="P005"/>
    <x v="1"/>
    <x v="1"/>
    <n v="2"/>
    <n v="59.99"/>
    <x v="0"/>
    <x v="3"/>
    <x v="2"/>
    <d v="2022-07-04T00:00:00"/>
    <n v="119.98"/>
    <x v="0"/>
    <n v="2024"/>
    <n v="1466"/>
    <n v="4"/>
    <d v="2024-04-30T00:00:00"/>
    <x v="0"/>
    <d v="2026-07-09T21:56:45"/>
  </r>
  <r>
    <x v="6"/>
    <x v="4"/>
    <x v="5"/>
    <x v="5"/>
    <s v="P003"/>
    <x v="3"/>
    <x v="0"/>
    <n v="5"/>
    <n v="149.99"/>
    <x v="1"/>
    <x v="0"/>
    <x v="2"/>
    <d v="2021-08-10T00:00:00"/>
    <n v="749.95"/>
    <x v="0"/>
    <n v="2024"/>
    <n v="1794"/>
    <n v="4"/>
    <d v="2024-04-30T00:00:00"/>
    <x v="0"/>
    <d v="2026-07-09T21:56:45"/>
  </r>
  <r>
    <x v="7"/>
    <x v="4"/>
    <x v="6"/>
    <x v="6"/>
    <s v="P005"/>
    <x v="1"/>
    <x v="1"/>
    <n v="3"/>
    <n v="59.99"/>
    <x v="3"/>
    <x v="1"/>
    <x v="0"/>
    <d v="2023-03-22T00:00:00"/>
    <n v="179.97"/>
    <x v="0"/>
    <n v="2024"/>
    <n v="1205"/>
    <n v="3"/>
    <d v="2024-04-30T00:00:00"/>
    <x v="0"/>
    <d v="2026-07-09T21:56:45"/>
  </r>
  <r>
    <x v="8"/>
    <x v="5"/>
    <x v="7"/>
    <x v="7"/>
    <s v="P001"/>
    <x v="4"/>
    <x v="0"/>
    <n v="3"/>
    <n v="899.99"/>
    <x v="2"/>
    <x v="4"/>
    <x v="2"/>
    <d v="2024-01-08T00:00:00"/>
    <n v="2699.97"/>
    <x v="0"/>
    <n v="2024"/>
    <n v="913"/>
    <n v="2"/>
    <d v="2024-04-30T00:00:00"/>
    <x v="1"/>
    <d v="2026-07-09T21:56:45"/>
  </r>
  <r>
    <x v="9"/>
    <x v="6"/>
    <x v="8"/>
    <x v="8"/>
    <s v="P005"/>
    <x v="1"/>
    <x v="1"/>
    <n v="3"/>
    <n v="59.99"/>
    <x v="0"/>
    <x v="3"/>
    <x v="1"/>
    <d v="2023-10-08T00:00:00"/>
    <n v="179.97"/>
    <x v="0"/>
    <n v="2024"/>
    <n v="1005"/>
    <n v="2"/>
    <d v="2024-04-30T00:00:00"/>
    <x v="0"/>
    <d v="2026-07-09T21:56:45"/>
  </r>
  <r>
    <x v="10"/>
    <x v="6"/>
    <x v="9"/>
    <x v="9"/>
    <s v="P008"/>
    <x v="2"/>
    <x v="2"/>
    <n v="1"/>
    <n v="149.99"/>
    <x v="1"/>
    <x v="3"/>
    <x v="2"/>
    <d v="2023-06-26T00:00:00"/>
    <n v="149.99"/>
    <x v="0"/>
    <n v="2024"/>
    <n v="1109"/>
    <n v="3"/>
    <d v="2024-04-30T00:00:00"/>
    <x v="0"/>
    <d v="2026-07-09T21:56:45"/>
  </r>
  <r>
    <x v="11"/>
    <x v="6"/>
    <x v="3"/>
    <x v="3"/>
    <s v="P008"/>
    <x v="2"/>
    <x v="2"/>
    <n v="5"/>
    <n v="149.99"/>
    <x v="3"/>
    <x v="2"/>
    <x v="0"/>
    <d v="2022-09-26T00:00:00"/>
    <n v="749.95"/>
    <x v="0"/>
    <n v="2024"/>
    <n v="1382"/>
    <n v="3"/>
    <d v="2024-04-30T00:00:00"/>
    <x v="0"/>
    <d v="2026-07-09T21:56:45"/>
  </r>
  <r>
    <x v="12"/>
    <x v="6"/>
    <x v="10"/>
    <x v="10"/>
    <s v="P008"/>
    <x v="2"/>
    <x v="2"/>
    <n v="3"/>
    <n v="149.99"/>
    <x v="0"/>
    <x v="2"/>
    <x v="1"/>
    <d v="2022-09-02T00:00:00"/>
    <n v="449.97"/>
    <x v="0"/>
    <n v="2024"/>
    <n v="1406"/>
    <n v="3"/>
    <d v="2024-04-30T00:00:00"/>
    <x v="0"/>
    <d v="2026-07-09T21:56:45"/>
  </r>
  <r>
    <x v="13"/>
    <x v="7"/>
    <x v="11"/>
    <x v="11"/>
    <s v="P005"/>
    <x v="1"/>
    <x v="1"/>
    <n v="3"/>
    <n v="59.99"/>
    <x v="1"/>
    <x v="2"/>
    <x v="2"/>
    <d v="2024-02-29T00:00:00"/>
    <n v="179.97"/>
    <x v="0"/>
    <n v="2024"/>
    <n v="861"/>
    <n v="2"/>
    <d v="2024-04-30T00:00:00"/>
    <x v="0"/>
    <d v="2026-07-09T21:56:45"/>
  </r>
  <r>
    <x v="14"/>
    <x v="7"/>
    <x v="12"/>
    <x v="12"/>
    <s v="P002"/>
    <x v="5"/>
    <x v="0"/>
    <n v="3"/>
    <n v="699.99"/>
    <x v="1"/>
    <x v="3"/>
    <x v="0"/>
    <d v="2022-01-16T00:00:00"/>
    <n v="2099.9699999999998"/>
    <x v="0"/>
    <n v="2024"/>
    <n v="1635"/>
    <n v="4"/>
    <d v="2024-04-30T00:00:00"/>
    <x v="1"/>
    <d v="2026-07-09T21:56:45"/>
  </r>
  <r>
    <x v="15"/>
    <x v="7"/>
    <x v="13"/>
    <x v="13"/>
    <s v="P001"/>
    <x v="4"/>
    <x v="0"/>
    <n v="1"/>
    <n v="899.99"/>
    <x v="3"/>
    <x v="2"/>
    <x v="2"/>
    <d v="2022-12-25T00:00:00"/>
    <n v="899.99"/>
    <x v="0"/>
    <n v="2024"/>
    <n v="1292"/>
    <n v="3"/>
    <d v="2024-04-30T00:00:00"/>
    <x v="0"/>
    <d v="2026-07-09T21:56:45"/>
  </r>
  <r>
    <x v="16"/>
    <x v="8"/>
    <x v="14"/>
    <x v="14"/>
    <s v="P008"/>
    <x v="2"/>
    <x v="2"/>
    <n v="4"/>
    <n v="149.99"/>
    <x v="3"/>
    <x v="2"/>
    <x v="1"/>
    <d v="2024-03-23T00:00:00"/>
    <n v="599.96"/>
    <x v="0"/>
    <n v="2024"/>
    <n v="838"/>
    <n v="2"/>
    <d v="2024-04-30T00:00:00"/>
    <x v="0"/>
    <d v="2026-07-09T21:56:45"/>
  </r>
  <r>
    <x v="17"/>
    <x v="8"/>
    <x v="15"/>
    <x v="15"/>
    <s v="P002"/>
    <x v="5"/>
    <x v="0"/>
    <n v="2"/>
    <n v="699.99"/>
    <x v="0"/>
    <x v="2"/>
    <x v="0"/>
    <d v="2022-08-08T00:00:00"/>
    <n v="1399.98"/>
    <x v="0"/>
    <n v="2024"/>
    <n v="1431"/>
    <n v="3"/>
    <d v="2024-04-30T00:00:00"/>
    <x v="1"/>
    <d v="2026-07-09T21:56:45"/>
  </r>
  <r>
    <x v="18"/>
    <x v="8"/>
    <x v="14"/>
    <x v="14"/>
    <s v="P001"/>
    <x v="4"/>
    <x v="0"/>
    <n v="4"/>
    <n v="899.99"/>
    <x v="1"/>
    <x v="3"/>
    <x v="2"/>
    <d v="2024-02-05T00:00:00"/>
    <n v="3599.96"/>
    <x v="0"/>
    <n v="2024"/>
    <n v="885"/>
    <n v="2"/>
    <d v="2024-04-30T00:00:00"/>
    <x v="1"/>
    <d v="2026-07-09T21:56:45"/>
  </r>
  <r>
    <x v="19"/>
    <x v="8"/>
    <x v="16"/>
    <x v="16"/>
    <s v="P009"/>
    <x v="0"/>
    <x v="0"/>
    <n v="3"/>
    <n v="249.99"/>
    <x v="1"/>
    <x v="2"/>
    <x v="1"/>
    <d v="2023-10-25T00:00:00"/>
    <n v="749.97"/>
    <x v="0"/>
    <n v="2024"/>
    <n v="988"/>
    <n v="2"/>
    <d v="2024-04-30T00:00:00"/>
    <x v="0"/>
    <d v="2026-07-09T21:56:45"/>
  </r>
  <r>
    <x v="20"/>
    <x v="9"/>
    <x v="17"/>
    <x v="17"/>
    <s v="P002"/>
    <x v="5"/>
    <x v="0"/>
    <n v="5"/>
    <n v="699.99"/>
    <x v="0"/>
    <x v="3"/>
    <x v="0"/>
    <d v="2023-08-29T00:00:00"/>
    <n v="3499.95"/>
    <x v="0"/>
    <n v="2024"/>
    <n v="1045"/>
    <n v="2"/>
    <d v="2024-04-30T00:00:00"/>
    <x v="1"/>
    <d v="2026-07-09T21:56:45"/>
  </r>
  <r>
    <x v="21"/>
    <x v="10"/>
    <x v="18"/>
    <x v="18"/>
    <s v="P002"/>
    <x v="5"/>
    <x v="0"/>
    <n v="4"/>
    <n v="699.99"/>
    <x v="0"/>
    <x v="4"/>
    <x v="2"/>
    <d v="2021-08-01T00:00:00"/>
    <n v="2799.96"/>
    <x v="1"/>
    <n v="2024"/>
    <n v="1803"/>
    <n v="4"/>
    <d v="2024-05-31T00:00:00"/>
    <x v="1"/>
    <d v="2026-07-09T21:56:45"/>
  </r>
  <r>
    <x v="22"/>
    <x v="11"/>
    <x v="19"/>
    <x v="19"/>
    <s v="P009"/>
    <x v="0"/>
    <x v="0"/>
    <n v="4"/>
    <n v="249.99"/>
    <x v="2"/>
    <x v="2"/>
    <x v="2"/>
    <d v="2021-09-29T00:00:00"/>
    <n v="999.96"/>
    <x v="1"/>
    <n v="2024"/>
    <n v="1744"/>
    <n v="4"/>
    <d v="2024-05-31T00:00:00"/>
    <x v="0"/>
    <d v="2026-07-09T21:56:45"/>
  </r>
  <r>
    <x v="23"/>
    <x v="12"/>
    <x v="14"/>
    <x v="14"/>
    <s v="P007"/>
    <x v="6"/>
    <x v="2"/>
    <n v="4"/>
    <n v="299.99"/>
    <x v="0"/>
    <x v="3"/>
    <x v="1"/>
    <d v="2022-06-04T00:00:00"/>
    <n v="1199.96"/>
    <x v="1"/>
    <n v="2024"/>
    <n v="1496"/>
    <n v="4"/>
    <d v="2024-05-31T00:00:00"/>
    <x v="1"/>
    <d v="2026-07-09T21:56:45"/>
  </r>
  <r>
    <x v="24"/>
    <x v="13"/>
    <x v="20"/>
    <x v="20"/>
    <s v="P009"/>
    <x v="0"/>
    <x v="0"/>
    <n v="5"/>
    <n v="249.99"/>
    <x v="1"/>
    <x v="3"/>
    <x v="2"/>
    <d v="2021-11-25T00:00:00"/>
    <n v="1249.95"/>
    <x v="1"/>
    <n v="2024"/>
    <n v="1687"/>
    <n v="4"/>
    <d v="2024-05-31T00:00:00"/>
    <x v="1"/>
    <d v="2026-07-09T21:56:45"/>
  </r>
  <r>
    <x v="25"/>
    <x v="14"/>
    <x v="9"/>
    <x v="9"/>
    <s v="P007"/>
    <x v="6"/>
    <x v="2"/>
    <n v="5"/>
    <n v="299.99"/>
    <x v="2"/>
    <x v="4"/>
    <x v="0"/>
    <d v="2023-08-30T00:00:00"/>
    <n v="1499.95"/>
    <x v="1"/>
    <n v="2024"/>
    <n v="1044"/>
    <n v="2"/>
    <d v="2024-05-31T00:00:00"/>
    <x v="1"/>
    <d v="2026-07-09T21:56:45"/>
  </r>
  <r>
    <x v="26"/>
    <x v="14"/>
    <x v="21"/>
    <x v="21"/>
    <s v="P004"/>
    <x v="7"/>
    <x v="1"/>
    <n v="3"/>
    <n v="79.989999999999995"/>
    <x v="2"/>
    <x v="4"/>
    <x v="1"/>
    <d v="2023-03-27T00:00:00"/>
    <n v="239.97"/>
    <x v="1"/>
    <n v="2024"/>
    <n v="1200"/>
    <n v="3"/>
    <d v="2024-05-31T00:00:00"/>
    <x v="0"/>
    <d v="2026-07-09T21:56:45"/>
  </r>
  <r>
    <x v="27"/>
    <x v="14"/>
    <x v="18"/>
    <x v="18"/>
    <s v="P010"/>
    <x v="8"/>
    <x v="0"/>
    <n v="5"/>
    <n v="89.99"/>
    <x v="0"/>
    <x v="2"/>
    <x v="1"/>
    <d v="2022-12-24T00:00:00"/>
    <n v="449.95"/>
    <x v="1"/>
    <n v="2024"/>
    <n v="1293"/>
    <n v="3"/>
    <d v="2024-05-31T00:00:00"/>
    <x v="0"/>
    <d v="2026-07-09T21:56:45"/>
  </r>
  <r>
    <x v="28"/>
    <x v="15"/>
    <x v="22"/>
    <x v="22"/>
    <s v="P005"/>
    <x v="1"/>
    <x v="1"/>
    <n v="2"/>
    <n v="59.99"/>
    <x v="3"/>
    <x v="0"/>
    <x v="2"/>
    <d v="2023-10-15T00:00:00"/>
    <n v="119.98"/>
    <x v="1"/>
    <n v="2024"/>
    <n v="998"/>
    <n v="2"/>
    <d v="2024-05-31T00:00:00"/>
    <x v="0"/>
    <d v="2026-07-09T21:56:45"/>
  </r>
  <r>
    <x v="29"/>
    <x v="16"/>
    <x v="23"/>
    <x v="23"/>
    <s v="P005"/>
    <x v="1"/>
    <x v="1"/>
    <n v="4"/>
    <n v="59.99"/>
    <x v="3"/>
    <x v="4"/>
    <x v="2"/>
    <d v="2022-11-02T00:00:00"/>
    <n v="239.96"/>
    <x v="1"/>
    <n v="2024"/>
    <n v="1345"/>
    <n v="3"/>
    <d v="2024-05-31T00:00:00"/>
    <x v="0"/>
    <d v="2026-07-09T21:56:45"/>
  </r>
  <r>
    <x v="30"/>
    <x v="16"/>
    <x v="6"/>
    <x v="6"/>
    <s v="P006"/>
    <x v="9"/>
    <x v="2"/>
    <n v="5"/>
    <n v="199.99"/>
    <x v="0"/>
    <x v="1"/>
    <x v="2"/>
    <d v="2021-08-04T00:00:00"/>
    <n v="999.95"/>
    <x v="1"/>
    <n v="2024"/>
    <n v="1800"/>
    <n v="4"/>
    <d v="2024-05-31T00:00:00"/>
    <x v="0"/>
    <d v="2026-07-09T21:56:45"/>
  </r>
  <r>
    <x v="31"/>
    <x v="17"/>
    <x v="24"/>
    <x v="24"/>
    <s v="P008"/>
    <x v="2"/>
    <x v="2"/>
    <n v="2"/>
    <n v="149.99"/>
    <x v="1"/>
    <x v="3"/>
    <x v="0"/>
    <d v="2022-09-19T00:00:00"/>
    <n v="299.98"/>
    <x v="1"/>
    <n v="2024"/>
    <n v="1389"/>
    <n v="3"/>
    <d v="2024-05-31T00:00:00"/>
    <x v="0"/>
    <d v="2026-07-09T21:56:45"/>
  </r>
  <r>
    <x v="32"/>
    <x v="18"/>
    <x v="25"/>
    <x v="25"/>
    <s v="P008"/>
    <x v="2"/>
    <x v="2"/>
    <n v="3"/>
    <n v="149.99"/>
    <x v="1"/>
    <x v="3"/>
    <x v="1"/>
    <d v="2023-05-22T00:00:00"/>
    <n v="449.97"/>
    <x v="1"/>
    <n v="2024"/>
    <n v="1144"/>
    <n v="3"/>
    <d v="2024-05-31T00:00:00"/>
    <x v="0"/>
    <d v="2026-07-09T21:56:45"/>
  </r>
  <r>
    <x v="33"/>
    <x v="19"/>
    <x v="2"/>
    <x v="2"/>
    <s v="P001"/>
    <x v="4"/>
    <x v="0"/>
    <n v="1"/>
    <n v="899.99"/>
    <x v="1"/>
    <x v="3"/>
    <x v="1"/>
    <d v="2022-01-17T00:00:00"/>
    <n v="899.99"/>
    <x v="1"/>
    <n v="2024"/>
    <n v="1634"/>
    <n v="4"/>
    <d v="2024-05-31T00:00:00"/>
    <x v="0"/>
    <d v="2026-07-09T21:56:45"/>
  </r>
  <r>
    <x v="34"/>
    <x v="20"/>
    <x v="18"/>
    <x v="18"/>
    <s v="P007"/>
    <x v="6"/>
    <x v="2"/>
    <n v="3"/>
    <n v="299.99"/>
    <x v="1"/>
    <x v="4"/>
    <x v="0"/>
    <d v="2022-09-20T00:00:00"/>
    <n v="899.97"/>
    <x v="1"/>
    <n v="2024"/>
    <n v="1388"/>
    <n v="3"/>
    <d v="2024-05-31T00:00:00"/>
    <x v="0"/>
    <d v="2026-07-09T21:56:45"/>
  </r>
  <r>
    <x v="35"/>
    <x v="21"/>
    <x v="24"/>
    <x v="24"/>
    <s v="P004"/>
    <x v="7"/>
    <x v="1"/>
    <n v="3"/>
    <n v="79.989999999999995"/>
    <x v="0"/>
    <x v="1"/>
    <x v="0"/>
    <d v="2023-04-30T00:00:00"/>
    <n v="239.97"/>
    <x v="1"/>
    <n v="2024"/>
    <n v="1166"/>
    <n v="3"/>
    <d v="2024-05-31T00:00:00"/>
    <x v="0"/>
    <d v="2026-07-09T21:56:45"/>
  </r>
  <r>
    <x v="36"/>
    <x v="22"/>
    <x v="26"/>
    <x v="26"/>
    <s v="P006"/>
    <x v="9"/>
    <x v="2"/>
    <n v="3"/>
    <n v="199.99"/>
    <x v="1"/>
    <x v="2"/>
    <x v="1"/>
    <d v="2024-01-01T00:00:00"/>
    <n v="599.97"/>
    <x v="1"/>
    <n v="2024"/>
    <n v="920"/>
    <n v="2"/>
    <d v="2024-05-31T00:00:00"/>
    <x v="0"/>
    <d v="2026-07-09T21:56:45"/>
  </r>
  <r>
    <x v="37"/>
    <x v="23"/>
    <x v="27"/>
    <x v="27"/>
    <s v="P002"/>
    <x v="5"/>
    <x v="0"/>
    <n v="5"/>
    <n v="699.99"/>
    <x v="2"/>
    <x v="3"/>
    <x v="2"/>
    <d v="2021-07-30T00:00:00"/>
    <n v="3499.95"/>
    <x v="1"/>
    <n v="2024"/>
    <n v="1805"/>
    <n v="4"/>
    <d v="2024-05-31T00:00:00"/>
    <x v="1"/>
    <d v="2026-07-09T21:56:45"/>
  </r>
  <r>
    <x v="38"/>
    <x v="24"/>
    <x v="28"/>
    <x v="28"/>
    <s v="P010"/>
    <x v="8"/>
    <x v="0"/>
    <n v="3"/>
    <n v="89.99"/>
    <x v="2"/>
    <x v="0"/>
    <x v="1"/>
    <d v="2023-07-13T00:00:00"/>
    <n v="269.97000000000003"/>
    <x v="1"/>
    <n v="2024"/>
    <n v="1092"/>
    <n v="2"/>
    <d v="2024-05-31T00:00:00"/>
    <x v="0"/>
    <d v="2026-07-09T21:56:45"/>
  </r>
  <r>
    <x v="39"/>
    <x v="25"/>
    <x v="29"/>
    <x v="29"/>
    <s v="P004"/>
    <x v="7"/>
    <x v="1"/>
    <n v="1"/>
    <n v="79.989999999999995"/>
    <x v="0"/>
    <x v="2"/>
    <x v="2"/>
    <d v="2022-12-22T00:00:00"/>
    <n v="79.989999999999995"/>
    <x v="1"/>
    <n v="2024"/>
    <n v="1295"/>
    <n v="3"/>
    <d v="2024-05-31T00:00:00"/>
    <x v="0"/>
    <d v="2026-07-09T21:56:45"/>
  </r>
  <r>
    <x v="40"/>
    <x v="26"/>
    <x v="30"/>
    <x v="30"/>
    <s v="P005"/>
    <x v="1"/>
    <x v="1"/>
    <n v="2"/>
    <n v="59.99"/>
    <x v="0"/>
    <x v="3"/>
    <x v="0"/>
    <d v="2024-04-08T00:00:00"/>
    <n v="119.98"/>
    <x v="2"/>
    <n v="2024"/>
    <n v="822"/>
    <n v="2"/>
    <d v="2024-06-30T00:00:00"/>
    <x v="0"/>
    <d v="2026-07-09T21:56:45"/>
  </r>
  <r>
    <x v="41"/>
    <x v="26"/>
    <x v="6"/>
    <x v="6"/>
    <s v="P010"/>
    <x v="8"/>
    <x v="0"/>
    <n v="1"/>
    <n v="89.99"/>
    <x v="0"/>
    <x v="2"/>
    <x v="0"/>
    <d v="2023-08-03T00:00:00"/>
    <n v="89.99"/>
    <x v="2"/>
    <n v="2024"/>
    <n v="1071"/>
    <n v="2"/>
    <d v="2024-06-30T00:00:00"/>
    <x v="0"/>
    <d v="2026-07-09T21:56:45"/>
  </r>
  <r>
    <x v="42"/>
    <x v="27"/>
    <x v="31"/>
    <x v="31"/>
    <s v="P010"/>
    <x v="8"/>
    <x v="0"/>
    <n v="5"/>
    <n v="89.99"/>
    <x v="1"/>
    <x v="4"/>
    <x v="2"/>
    <d v="2022-01-26T00:00:00"/>
    <n v="449.95"/>
    <x v="2"/>
    <n v="2024"/>
    <n v="1625"/>
    <n v="4"/>
    <d v="2024-06-30T00:00:00"/>
    <x v="0"/>
    <d v="2026-07-09T21:56:45"/>
  </r>
  <r>
    <x v="43"/>
    <x v="28"/>
    <x v="1"/>
    <x v="1"/>
    <s v="P009"/>
    <x v="0"/>
    <x v="0"/>
    <n v="5"/>
    <n v="249.99"/>
    <x v="1"/>
    <x v="4"/>
    <x v="2"/>
    <d v="2022-05-26T00:00:00"/>
    <n v="1249.95"/>
    <x v="2"/>
    <n v="2024"/>
    <n v="1505"/>
    <n v="4"/>
    <d v="2024-06-30T00:00:00"/>
    <x v="1"/>
    <d v="2026-07-09T21:56:45"/>
  </r>
  <r>
    <x v="44"/>
    <x v="28"/>
    <x v="32"/>
    <x v="32"/>
    <s v="P010"/>
    <x v="8"/>
    <x v="0"/>
    <n v="1"/>
    <n v="89.99"/>
    <x v="1"/>
    <x v="1"/>
    <x v="2"/>
    <d v="2022-01-21T00:00:00"/>
    <n v="89.99"/>
    <x v="2"/>
    <n v="2024"/>
    <n v="1630"/>
    <n v="4"/>
    <d v="2024-06-30T00:00:00"/>
    <x v="0"/>
    <d v="2026-07-09T21:56:45"/>
  </r>
  <r>
    <x v="45"/>
    <x v="29"/>
    <x v="4"/>
    <x v="4"/>
    <s v="P008"/>
    <x v="2"/>
    <x v="2"/>
    <n v="2"/>
    <n v="149.99"/>
    <x v="0"/>
    <x v="4"/>
    <x v="1"/>
    <d v="2022-03-25T00:00:00"/>
    <n v="299.98"/>
    <x v="2"/>
    <n v="2024"/>
    <n v="1567"/>
    <n v="4"/>
    <d v="2024-06-30T00:00:00"/>
    <x v="0"/>
    <d v="2026-07-09T21:56:45"/>
  </r>
  <r>
    <x v="46"/>
    <x v="30"/>
    <x v="33"/>
    <x v="33"/>
    <s v="P005"/>
    <x v="1"/>
    <x v="1"/>
    <n v="4"/>
    <n v="59.99"/>
    <x v="0"/>
    <x v="4"/>
    <x v="2"/>
    <d v="2021-08-27T00:00:00"/>
    <n v="239.96"/>
    <x v="2"/>
    <n v="2024"/>
    <n v="1777"/>
    <n v="4"/>
    <d v="2024-06-30T00:00:00"/>
    <x v="0"/>
    <d v="2026-07-09T21:56:45"/>
  </r>
  <r>
    <x v="47"/>
    <x v="31"/>
    <x v="24"/>
    <x v="24"/>
    <s v="P010"/>
    <x v="8"/>
    <x v="0"/>
    <n v="5"/>
    <n v="89.99"/>
    <x v="0"/>
    <x v="0"/>
    <x v="1"/>
    <d v="2022-01-18T00:00:00"/>
    <n v="449.95"/>
    <x v="2"/>
    <n v="2024"/>
    <n v="1633"/>
    <n v="4"/>
    <d v="2024-06-30T00:00:00"/>
    <x v="0"/>
    <d v="2026-07-09T21:56:45"/>
  </r>
  <r>
    <x v="48"/>
    <x v="32"/>
    <x v="18"/>
    <x v="18"/>
    <s v="P010"/>
    <x v="8"/>
    <x v="0"/>
    <n v="2"/>
    <n v="89.99"/>
    <x v="1"/>
    <x v="1"/>
    <x v="1"/>
    <d v="2021-10-02T00:00:00"/>
    <n v="179.98"/>
    <x v="2"/>
    <n v="2024"/>
    <n v="1741"/>
    <n v="4"/>
    <d v="2024-06-30T00:00:00"/>
    <x v="0"/>
    <d v="2026-07-09T21:56:45"/>
  </r>
  <r>
    <x v="49"/>
    <x v="32"/>
    <x v="0"/>
    <x v="0"/>
    <s v="P001"/>
    <x v="4"/>
    <x v="0"/>
    <n v="5"/>
    <n v="899.99"/>
    <x v="1"/>
    <x v="1"/>
    <x v="2"/>
    <d v="2023-02-17T00:00:00"/>
    <n v="4499.95"/>
    <x v="2"/>
    <n v="2024"/>
    <n v="1238"/>
    <n v="3"/>
    <d v="2024-06-30T00:00:00"/>
    <x v="1"/>
    <d v="2026-07-09T21:56:45"/>
  </r>
  <r>
    <x v="50"/>
    <x v="32"/>
    <x v="23"/>
    <x v="23"/>
    <s v="P001"/>
    <x v="4"/>
    <x v="0"/>
    <n v="5"/>
    <n v="899.99"/>
    <x v="2"/>
    <x v="4"/>
    <x v="1"/>
    <d v="2023-12-18T00:00:00"/>
    <n v="4499.95"/>
    <x v="2"/>
    <n v="2024"/>
    <n v="934"/>
    <n v="2"/>
    <d v="2024-06-30T00:00:00"/>
    <x v="1"/>
    <d v="2026-07-09T21:56:45"/>
  </r>
  <r>
    <x v="51"/>
    <x v="33"/>
    <x v="32"/>
    <x v="32"/>
    <s v="P005"/>
    <x v="1"/>
    <x v="1"/>
    <n v="1"/>
    <n v="59.99"/>
    <x v="3"/>
    <x v="3"/>
    <x v="1"/>
    <d v="2023-09-21T00:00:00"/>
    <n v="59.99"/>
    <x v="2"/>
    <n v="2024"/>
    <n v="1022"/>
    <n v="2"/>
    <d v="2024-06-30T00:00:00"/>
    <x v="0"/>
    <d v="2026-07-09T21:56:45"/>
  </r>
  <r>
    <x v="52"/>
    <x v="33"/>
    <x v="27"/>
    <x v="27"/>
    <s v="P007"/>
    <x v="6"/>
    <x v="2"/>
    <n v="2"/>
    <n v="299.99"/>
    <x v="3"/>
    <x v="4"/>
    <x v="2"/>
    <d v="2023-11-23T00:00:00"/>
    <n v="599.98"/>
    <x v="2"/>
    <n v="2024"/>
    <n v="959"/>
    <n v="2"/>
    <d v="2024-06-30T00:00:00"/>
    <x v="0"/>
    <d v="2026-07-09T21:56:45"/>
  </r>
  <r>
    <x v="53"/>
    <x v="34"/>
    <x v="34"/>
    <x v="34"/>
    <s v="P010"/>
    <x v="8"/>
    <x v="0"/>
    <n v="4"/>
    <n v="89.99"/>
    <x v="3"/>
    <x v="1"/>
    <x v="0"/>
    <d v="2023-12-21T00:00:00"/>
    <n v="359.96"/>
    <x v="2"/>
    <n v="2024"/>
    <n v="931"/>
    <n v="2"/>
    <d v="2024-06-30T00:00:00"/>
    <x v="0"/>
    <d v="2026-07-09T21:56:45"/>
  </r>
  <r>
    <x v="54"/>
    <x v="35"/>
    <x v="2"/>
    <x v="2"/>
    <s v="P004"/>
    <x v="7"/>
    <x v="1"/>
    <n v="1"/>
    <n v="79.989999999999995"/>
    <x v="2"/>
    <x v="0"/>
    <x v="1"/>
    <d v="2024-03-01T00:00:00"/>
    <n v="79.989999999999995"/>
    <x v="2"/>
    <n v="2024"/>
    <n v="860"/>
    <n v="2"/>
    <d v="2024-06-30T00:00:00"/>
    <x v="0"/>
    <d v="2026-07-09T21:56:45"/>
  </r>
  <r>
    <x v="55"/>
    <x v="35"/>
    <x v="7"/>
    <x v="7"/>
    <s v="P010"/>
    <x v="8"/>
    <x v="0"/>
    <n v="2"/>
    <n v="89.99"/>
    <x v="0"/>
    <x v="3"/>
    <x v="0"/>
    <d v="2021-08-30T00:00:00"/>
    <n v="179.98"/>
    <x v="2"/>
    <n v="2024"/>
    <n v="1774"/>
    <n v="4"/>
    <d v="2024-06-30T00:00:00"/>
    <x v="0"/>
    <d v="2026-07-09T21:56:45"/>
  </r>
  <r>
    <x v="56"/>
    <x v="36"/>
    <x v="3"/>
    <x v="3"/>
    <s v="P002"/>
    <x v="5"/>
    <x v="0"/>
    <n v="3"/>
    <n v="699.99"/>
    <x v="1"/>
    <x v="4"/>
    <x v="1"/>
    <d v="2023-06-25T00:00:00"/>
    <n v="2099.9699999999998"/>
    <x v="2"/>
    <n v="2024"/>
    <n v="1110"/>
    <n v="3"/>
    <d v="2024-06-30T00:00:00"/>
    <x v="1"/>
    <d v="2026-07-09T21:56:45"/>
  </r>
  <r>
    <x v="57"/>
    <x v="36"/>
    <x v="18"/>
    <x v="18"/>
    <s v="P001"/>
    <x v="4"/>
    <x v="0"/>
    <n v="4"/>
    <n v="899.99"/>
    <x v="1"/>
    <x v="4"/>
    <x v="1"/>
    <d v="2023-03-08T00:00:00"/>
    <n v="3599.96"/>
    <x v="2"/>
    <n v="2024"/>
    <n v="1219"/>
    <n v="3"/>
    <d v="2024-06-30T00:00:00"/>
    <x v="1"/>
    <d v="2026-07-09T21:56:45"/>
  </r>
  <r>
    <x v="58"/>
    <x v="37"/>
    <x v="22"/>
    <x v="22"/>
    <s v="P008"/>
    <x v="2"/>
    <x v="2"/>
    <n v="1"/>
    <n v="149.99"/>
    <x v="2"/>
    <x v="4"/>
    <x v="0"/>
    <d v="2022-10-17T00:00:00"/>
    <n v="149.99"/>
    <x v="2"/>
    <n v="2024"/>
    <n v="1361"/>
    <n v="3"/>
    <d v="2024-06-30T00:00:00"/>
    <x v="0"/>
    <d v="2026-07-09T21:56:45"/>
  </r>
  <r>
    <x v="59"/>
    <x v="38"/>
    <x v="25"/>
    <x v="25"/>
    <s v="P010"/>
    <x v="8"/>
    <x v="0"/>
    <n v="2"/>
    <n v="89.99"/>
    <x v="2"/>
    <x v="0"/>
    <x v="1"/>
    <d v="2023-12-15T00:00:00"/>
    <n v="179.98"/>
    <x v="3"/>
    <n v="2024"/>
    <n v="937"/>
    <n v="2"/>
    <d v="2024-07-31T00:00:00"/>
    <x v="0"/>
    <d v="2026-07-09T21:56:45"/>
  </r>
  <r>
    <x v="60"/>
    <x v="39"/>
    <x v="6"/>
    <x v="6"/>
    <s v="P010"/>
    <x v="8"/>
    <x v="0"/>
    <n v="1"/>
    <n v="89.99"/>
    <x v="2"/>
    <x v="3"/>
    <x v="2"/>
    <d v="2022-08-29T00:00:00"/>
    <n v="89.99"/>
    <x v="3"/>
    <n v="2024"/>
    <n v="1410"/>
    <n v="3"/>
    <d v="2024-07-31T00:00:00"/>
    <x v="0"/>
    <d v="2026-07-09T21:56:45"/>
  </r>
  <r>
    <x v="61"/>
    <x v="40"/>
    <x v="9"/>
    <x v="9"/>
    <s v="P010"/>
    <x v="8"/>
    <x v="0"/>
    <n v="1"/>
    <n v="89.99"/>
    <x v="0"/>
    <x v="1"/>
    <x v="2"/>
    <d v="2022-02-19T00:00:00"/>
    <n v="89.99"/>
    <x v="3"/>
    <n v="2024"/>
    <n v="1601"/>
    <n v="4"/>
    <d v="2024-07-31T00:00:00"/>
    <x v="0"/>
    <d v="2026-07-09T21:56:45"/>
  </r>
  <r>
    <x v="62"/>
    <x v="40"/>
    <x v="35"/>
    <x v="35"/>
    <s v="P004"/>
    <x v="7"/>
    <x v="1"/>
    <n v="5"/>
    <n v="79.989999999999995"/>
    <x v="3"/>
    <x v="0"/>
    <x v="0"/>
    <d v="2023-02-24T00:00:00"/>
    <n v="399.95"/>
    <x v="3"/>
    <n v="2024"/>
    <n v="1231"/>
    <n v="3"/>
    <d v="2024-07-31T00:00:00"/>
    <x v="0"/>
    <d v="2026-07-09T21:56:45"/>
  </r>
  <r>
    <x v="63"/>
    <x v="41"/>
    <x v="36"/>
    <x v="36"/>
    <s v="P008"/>
    <x v="2"/>
    <x v="2"/>
    <n v="1"/>
    <n v="149.99"/>
    <x v="2"/>
    <x v="2"/>
    <x v="0"/>
    <d v="2021-08-13T00:00:00"/>
    <n v="149.99"/>
    <x v="3"/>
    <n v="2024"/>
    <n v="1791"/>
    <n v="4"/>
    <d v="2024-07-31T00:00:00"/>
    <x v="0"/>
    <d v="2026-07-09T21:56:45"/>
  </r>
  <r>
    <x v="64"/>
    <x v="41"/>
    <x v="4"/>
    <x v="4"/>
    <s v="P002"/>
    <x v="5"/>
    <x v="0"/>
    <n v="2"/>
    <n v="699.99"/>
    <x v="2"/>
    <x v="4"/>
    <x v="1"/>
    <d v="2024-04-07T00:00:00"/>
    <n v="1399.98"/>
    <x v="3"/>
    <n v="2024"/>
    <n v="823"/>
    <n v="2"/>
    <d v="2024-07-31T00:00:00"/>
    <x v="1"/>
    <d v="2026-07-09T21:56:45"/>
  </r>
  <r>
    <x v="65"/>
    <x v="41"/>
    <x v="17"/>
    <x v="17"/>
    <s v="P010"/>
    <x v="8"/>
    <x v="0"/>
    <n v="5"/>
    <n v="89.99"/>
    <x v="3"/>
    <x v="2"/>
    <x v="1"/>
    <d v="2023-08-23T00:00:00"/>
    <n v="449.95"/>
    <x v="3"/>
    <n v="2024"/>
    <n v="1051"/>
    <n v="2"/>
    <d v="2024-07-31T00:00:00"/>
    <x v="0"/>
    <d v="2026-07-09T21:56:45"/>
  </r>
  <r>
    <x v="66"/>
    <x v="42"/>
    <x v="34"/>
    <x v="34"/>
    <s v="P005"/>
    <x v="1"/>
    <x v="1"/>
    <n v="4"/>
    <n v="59.99"/>
    <x v="0"/>
    <x v="1"/>
    <x v="2"/>
    <d v="2021-11-09T00:00:00"/>
    <n v="239.96"/>
    <x v="3"/>
    <n v="2024"/>
    <n v="1703"/>
    <n v="4"/>
    <d v="2024-07-31T00:00:00"/>
    <x v="0"/>
    <d v="2026-07-09T21:56:45"/>
  </r>
  <r>
    <x v="67"/>
    <x v="43"/>
    <x v="1"/>
    <x v="1"/>
    <s v="P003"/>
    <x v="3"/>
    <x v="0"/>
    <n v="1"/>
    <n v="149.99"/>
    <x v="0"/>
    <x v="0"/>
    <x v="2"/>
    <d v="2022-12-14T00:00:00"/>
    <n v="149.99"/>
    <x v="3"/>
    <n v="2024"/>
    <n v="1303"/>
    <n v="3"/>
    <d v="2024-07-31T00:00:00"/>
    <x v="0"/>
    <d v="2026-07-09T21:56:45"/>
  </r>
  <r>
    <x v="68"/>
    <x v="43"/>
    <x v="37"/>
    <x v="37"/>
    <s v="P007"/>
    <x v="6"/>
    <x v="2"/>
    <n v="1"/>
    <n v="299.99"/>
    <x v="1"/>
    <x v="2"/>
    <x v="1"/>
    <d v="2022-11-26T00:00:00"/>
    <n v="299.99"/>
    <x v="3"/>
    <n v="2024"/>
    <n v="1321"/>
    <n v="3"/>
    <d v="2024-07-31T00:00:00"/>
    <x v="0"/>
    <d v="2026-07-09T21:56:45"/>
  </r>
  <r>
    <x v="69"/>
    <x v="44"/>
    <x v="37"/>
    <x v="37"/>
    <s v="P006"/>
    <x v="9"/>
    <x v="2"/>
    <n v="2"/>
    <n v="199.99"/>
    <x v="0"/>
    <x v="2"/>
    <x v="0"/>
    <d v="2021-12-11T00:00:00"/>
    <n v="399.98"/>
    <x v="3"/>
    <n v="2024"/>
    <n v="1671"/>
    <n v="4"/>
    <d v="2024-07-31T00:00:00"/>
    <x v="0"/>
    <d v="2026-07-09T21:56:45"/>
  </r>
  <r>
    <x v="70"/>
    <x v="45"/>
    <x v="38"/>
    <x v="38"/>
    <s v="P005"/>
    <x v="1"/>
    <x v="1"/>
    <n v="3"/>
    <n v="59.99"/>
    <x v="1"/>
    <x v="3"/>
    <x v="0"/>
    <d v="2023-07-23T00:00:00"/>
    <n v="179.97"/>
    <x v="3"/>
    <n v="2024"/>
    <n v="1082"/>
    <n v="2"/>
    <d v="2024-07-31T00:00:00"/>
    <x v="0"/>
    <d v="2026-07-09T21:56:45"/>
  </r>
  <r>
    <x v="71"/>
    <x v="45"/>
    <x v="10"/>
    <x v="10"/>
    <s v="P008"/>
    <x v="2"/>
    <x v="2"/>
    <n v="3"/>
    <n v="149.99"/>
    <x v="0"/>
    <x v="0"/>
    <x v="1"/>
    <d v="2023-09-30T00:00:00"/>
    <n v="449.97"/>
    <x v="3"/>
    <n v="2024"/>
    <n v="1013"/>
    <n v="2"/>
    <d v="2024-07-31T00:00:00"/>
    <x v="0"/>
    <d v="2026-07-09T21:56:45"/>
  </r>
  <r>
    <x v="72"/>
    <x v="46"/>
    <x v="8"/>
    <x v="8"/>
    <s v="P006"/>
    <x v="9"/>
    <x v="2"/>
    <n v="3"/>
    <n v="199.99"/>
    <x v="0"/>
    <x v="2"/>
    <x v="1"/>
    <d v="2023-11-24T00:00:00"/>
    <n v="599.97"/>
    <x v="3"/>
    <n v="2024"/>
    <n v="958"/>
    <n v="2"/>
    <d v="2024-07-31T00:00:00"/>
    <x v="0"/>
    <d v="2026-07-09T21:56:45"/>
  </r>
  <r>
    <x v="73"/>
    <x v="47"/>
    <x v="30"/>
    <x v="30"/>
    <s v="P001"/>
    <x v="4"/>
    <x v="0"/>
    <n v="1"/>
    <n v="899.99"/>
    <x v="0"/>
    <x v="0"/>
    <x v="2"/>
    <d v="2023-09-10T00:00:00"/>
    <n v="899.99"/>
    <x v="3"/>
    <n v="2024"/>
    <n v="1033"/>
    <n v="2"/>
    <d v="2024-07-31T00:00:00"/>
    <x v="0"/>
    <d v="2026-07-09T21:56:45"/>
  </r>
  <r>
    <x v="74"/>
    <x v="48"/>
    <x v="1"/>
    <x v="1"/>
    <s v="P001"/>
    <x v="4"/>
    <x v="0"/>
    <n v="5"/>
    <n v="899.99"/>
    <x v="3"/>
    <x v="1"/>
    <x v="2"/>
    <d v="2022-12-04T00:00:00"/>
    <n v="4499.95"/>
    <x v="3"/>
    <n v="2024"/>
    <n v="1313"/>
    <n v="3"/>
    <d v="2024-07-31T00:00:00"/>
    <x v="1"/>
    <d v="2026-07-09T21:56:45"/>
  </r>
  <r>
    <x v="75"/>
    <x v="49"/>
    <x v="35"/>
    <x v="35"/>
    <s v="P005"/>
    <x v="1"/>
    <x v="1"/>
    <n v="2"/>
    <n v="59.99"/>
    <x v="0"/>
    <x v="2"/>
    <x v="2"/>
    <d v="2023-08-14T00:00:00"/>
    <n v="119.98"/>
    <x v="3"/>
    <n v="2024"/>
    <n v="1060"/>
    <n v="2"/>
    <d v="2024-07-31T00:00:00"/>
    <x v="0"/>
    <d v="2026-07-09T21:56:45"/>
  </r>
  <r>
    <x v="76"/>
    <x v="49"/>
    <x v="38"/>
    <x v="38"/>
    <s v="P009"/>
    <x v="0"/>
    <x v="0"/>
    <n v="4"/>
    <n v="249.99"/>
    <x v="3"/>
    <x v="0"/>
    <x v="2"/>
    <d v="2023-07-20T00:00:00"/>
    <n v="999.96"/>
    <x v="3"/>
    <n v="2024"/>
    <n v="1085"/>
    <n v="2"/>
    <d v="2024-07-31T00:00:00"/>
    <x v="0"/>
    <d v="2026-07-09T21:56:45"/>
  </r>
  <r>
    <x v="77"/>
    <x v="50"/>
    <x v="17"/>
    <x v="17"/>
    <s v="P009"/>
    <x v="0"/>
    <x v="0"/>
    <n v="2"/>
    <n v="249.99"/>
    <x v="0"/>
    <x v="2"/>
    <x v="1"/>
    <d v="2023-08-26T00:00:00"/>
    <n v="499.98"/>
    <x v="3"/>
    <n v="2024"/>
    <n v="1048"/>
    <n v="2"/>
    <d v="2024-07-31T00:00:00"/>
    <x v="0"/>
    <d v="2026-07-09T21:56:45"/>
  </r>
  <r>
    <x v="78"/>
    <x v="50"/>
    <x v="29"/>
    <x v="29"/>
    <s v="P007"/>
    <x v="6"/>
    <x v="2"/>
    <n v="1"/>
    <n v="299.99"/>
    <x v="0"/>
    <x v="1"/>
    <x v="0"/>
    <d v="2023-02-25T00:00:00"/>
    <n v="299.99"/>
    <x v="3"/>
    <n v="2024"/>
    <n v="1230"/>
    <n v="3"/>
    <d v="2024-07-31T00:00:00"/>
    <x v="0"/>
    <d v="2026-07-09T21:56:45"/>
  </r>
  <r>
    <x v="79"/>
    <x v="51"/>
    <x v="14"/>
    <x v="14"/>
    <s v="P010"/>
    <x v="8"/>
    <x v="0"/>
    <n v="2"/>
    <n v="89.99"/>
    <x v="2"/>
    <x v="1"/>
    <x v="0"/>
    <d v="2023-02-19T00:00:00"/>
    <n v="179.98"/>
    <x v="3"/>
    <n v="2024"/>
    <n v="1236"/>
    <n v="3"/>
    <d v="2024-07-31T00:00:00"/>
    <x v="0"/>
    <d v="2026-07-09T21:56:45"/>
  </r>
  <r>
    <x v="80"/>
    <x v="51"/>
    <x v="29"/>
    <x v="29"/>
    <s v="P007"/>
    <x v="6"/>
    <x v="2"/>
    <n v="3"/>
    <n v="299.99"/>
    <x v="0"/>
    <x v="0"/>
    <x v="0"/>
    <d v="2022-06-20T00:00:00"/>
    <n v="899.97"/>
    <x v="3"/>
    <n v="2024"/>
    <n v="1480"/>
    <n v="4"/>
    <d v="2024-07-31T00:00:00"/>
    <x v="0"/>
    <d v="2026-07-09T21:56:45"/>
  </r>
  <r>
    <x v="81"/>
    <x v="52"/>
    <x v="14"/>
    <x v="14"/>
    <s v="P002"/>
    <x v="5"/>
    <x v="0"/>
    <n v="2"/>
    <n v="699.99"/>
    <x v="1"/>
    <x v="2"/>
    <x v="1"/>
    <d v="2023-03-14T00:00:00"/>
    <n v="1399.98"/>
    <x v="3"/>
    <n v="2024"/>
    <n v="1213"/>
    <n v="3"/>
    <d v="2024-07-31T00:00:00"/>
    <x v="1"/>
    <d v="2026-07-09T21:56:45"/>
  </r>
  <r>
    <x v="82"/>
    <x v="53"/>
    <x v="22"/>
    <x v="22"/>
    <s v="P001"/>
    <x v="4"/>
    <x v="0"/>
    <n v="4"/>
    <n v="899.99"/>
    <x v="3"/>
    <x v="1"/>
    <x v="2"/>
    <d v="2021-11-23T00:00:00"/>
    <n v="3599.96"/>
    <x v="3"/>
    <n v="2024"/>
    <n v="1689"/>
    <n v="4"/>
    <d v="2024-07-31T00:00:00"/>
    <x v="1"/>
    <d v="2026-07-09T21:56:45"/>
  </r>
  <r>
    <x v="83"/>
    <x v="54"/>
    <x v="39"/>
    <x v="39"/>
    <s v="P008"/>
    <x v="2"/>
    <x v="2"/>
    <n v="2"/>
    <n v="149.99"/>
    <x v="1"/>
    <x v="3"/>
    <x v="0"/>
    <d v="2021-12-12T00:00:00"/>
    <n v="299.98"/>
    <x v="4"/>
    <n v="2024"/>
    <n v="1670"/>
    <n v="4"/>
    <d v="2024-08-31T00:00:00"/>
    <x v="0"/>
    <d v="2026-07-09T21:56:45"/>
  </r>
  <r>
    <x v="84"/>
    <x v="55"/>
    <x v="19"/>
    <x v="19"/>
    <s v="P008"/>
    <x v="2"/>
    <x v="2"/>
    <n v="2"/>
    <n v="149.99"/>
    <x v="3"/>
    <x v="4"/>
    <x v="2"/>
    <d v="2022-04-16T00:00:00"/>
    <n v="299.98"/>
    <x v="4"/>
    <n v="2024"/>
    <n v="1545"/>
    <n v="4"/>
    <d v="2024-08-31T00:00:00"/>
    <x v="0"/>
    <d v="2026-07-09T21:56:45"/>
  </r>
  <r>
    <x v="85"/>
    <x v="56"/>
    <x v="15"/>
    <x v="15"/>
    <s v="P010"/>
    <x v="8"/>
    <x v="0"/>
    <n v="1"/>
    <n v="89.99"/>
    <x v="1"/>
    <x v="2"/>
    <x v="2"/>
    <d v="2024-04-11T00:00:00"/>
    <n v="89.99"/>
    <x v="4"/>
    <n v="2024"/>
    <n v="819"/>
    <n v="2"/>
    <d v="2024-08-31T00:00:00"/>
    <x v="0"/>
    <d v="2026-07-09T21:56:45"/>
  </r>
  <r>
    <x v="86"/>
    <x v="57"/>
    <x v="14"/>
    <x v="14"/>
    <s v="P007"/>
    <x v="6"/>
    <x v="2"/>
    <n v="5"/>
    <n v="299.99"/>
    <x v="1"/>
    <x v="2"/>
    <x v="0"/>
    <d v="2023-02-08T00:00:00"/>
    <n v="1499.95"/>
    <x v="4"/>
    <n v="2024"/>
    <n v="1247"/>
    <n v="3"/>
    <d v="2024-08-31T00:00:00"/>
    <x v="1"/>
    <d v="2026-07-09T21:56:45"/>
  </r>
  <r>
    <x v="87"/>
    <x v="58"/>
    <x v="35"/>
    <x v="35"/>
    <s v="P003"/>
    <x v="3"/>
    <x v="0"/>
    <n v="4"/>
    <n v="149.99"/>
    <x v="3"/>
    <x v="1"/>
    <x v="1"/>
    <d v="2022-09-16T00:00:00"/>
    <n v="599.96"/>
    <x v="4"/>
    <n v="2024"/>
    <n v="1392"/>
    <n v="3"/>
    <d v="2024-08-31T00:00:00"/>
    <x v="0"/>
    <d v="2026-07-09T21:56:45"/>
  </r>
  <r>
    <x v="88"/>
    <x v="58"/>
    <x v="36"/>
    <x v="36"/>
    <s v="P009"/>
    <x v="0"/>
    <x v="0"/>
    <n v="5"/>
    <n v="249.99"/>
    <x v="2"/>
    <x v="4"/>
    <x v="1"/>
    <d v="2022-08-09T00:00:00"/>
    <n v="1249.95"/>
    <x v="4"/>
    <n v="2024"/>
    <n v="1430"/>
    <n v="3"/>
    <d v="2024-08-31T00:00:00"/>
    <x v="1"/>
    <d v="2026-07-09T21:56:45"/>
  </r>
  <r>
    <x v="89"/>
    <x v="58"/>
    <x v="8"/>
    <x v="8"/>
    <s v="P009"/>
    <x v="0"/>
    <x v="0"/>
    <n v="3"/>
    <n v="249.99"/>
    <x v="2"/>
    <x v="2"/>
    <x v="1"/>
    <d v="2021-09-26T00:00:00"/>
    <n v="749.97"/>
    <x v="4"/>
    <n v="2024"/>
    <n v="1747"/>
    <n v="4"/>
    <d v="2024-08-31T00:00:00"/>
    <x v="0"/>
    <d v="2026-07-09T21:56:45"/>
  </r>
  <r>
    <x v="90"/>
    <x v="58"/>
    <x v="3"/>
    <x v="3"/>
    <s v="P006"/>
    <x v="9"/>
    <x v="2"/>
    <n v="4"/>
    <n v="199.99"/>
    <x v="0"/>
    <x v="2"/>
    <x v="2"/>
    <d v="2021-09-19T00:00:00"/>
    <n v="799.96"/>
    <x v="4"/>
    <n v="2024"/>
    <n v="1754"/>
    <n v="4"/>
    <d v="2024-08-31T00:00:00"/>
    <x v="0"/>
    <d v="2026-07-09T21:56:45"/>
  </r>
  <r>
    <x v="91"/>
    <x v="59"/>
    <x v="32"/>
    <x v="32"/>
    <s v="P006"/>
    <x v="9"/>
    <x v="2"/>
    <n v="5"/>
    <n v="199.99"/>
    <x v="0"/>
    <x v="2"/>
    <x v="1"/>
    <d v="2023-03-06T00:00:00"/>
    <n v="999.95"/>
    <x v="4"/>
    <n v="2024"/>
    <n v="1221"/>
    <n v="3"/>
    <d v="2024-08-31T00:00:00"/>
    <x v="0"/>
    <d v="2026-07-09T21:56:45"/>
  </r>
  <r>
    <x v="92"/>
    <x v="60"/>
    <x v="14"/>
    <x v="14"/>
    <s v="P010"/>
    <x v="8"/>
    <x v="0"/>
    <n v="2"/>
    <n v="89.99"/>
    <x v="0"/>
    <x v="4"/>
    <x v="1"/>
    <d v="2023-02-15T00:00:00"/>
    <n v="179.98"/>
    <x v="4"/>
    <n v="2024"/>
    <n v="1240"/>
    <n v="3"/>
    <d v="2024-08-31T00:00:00"/>
    <x v="0"/>
    <d v="2026-07-09T21:56:45"/>
  </r>
  <r>
    <x v="93"/>
    <x v="61"/>
    <x v="38"/>
    <x v="38"/>
    <s v="P001"/>
    <x v="4"/>
    <x v="0"/>
    <n v="5"/>
    <n v="899.99"/>
    <x v="3"/>
    <x v="4"/>
    <x v="0"/>
    <d v="2021-11-26T00:00:00"/>
    <n v="4499.95"/>
    <x v="4"/>
    <n v="2024"/>
    <n v="1686"/>
    <n v="4"/>
    <d v="2024-08-31T00:00:00"/>
    <x v="1"/>
    <d v="2026-07-09T21:56:45"/>
  </r>
  <r>
    <x v="94"/>
    <x v="61"/>
    <x v="20"/>
    <x v="20"/>
    <s v="P003"/>
    <x v="3"/>
    <x v="0"/>
    <n v="3"/>
    <n v="149.99"/>
    <x v="2"/>
    <x v="4"/>
    <x v="0"/>
    <d v="2022-01-13T00:00:00"/>
    <n v="449.97"/>
    <x v="4"/>
    <n v="2024"/>
    <n v="1638"/>
    <n v="4"/>
    <d v="2024-08-31T00:00:00"/>
    <x v="0"/>
    <d v="2026-07-09T21:56:45"/>
  </r>
  <r>
    <x v="95"/>
    <x v="62"/>
    <x v="19"/>
    <x v="19"/>
    <s v="P008"/>
    <x v="2"/>
    <x v="2"/>
    <n v="5"/>
    <n v="149.99"/>
    <x v="1"/>
    <x v="0"/>
    <x v="0"/>
    <d v="2024-01-19T00:00:00"/>
    <n v="749.95"/>
    <x v="4"/>
    <n v="2024"/>
    <n v="902"/>
    <n v="2"/>
    <d v="2024-08-31T00:00:00"/>
    <x v="0"/>
    <d v="2026-07-09T21:56:45"/>
  </r>
  <r>
    <x v="96"/>
    <x v="63"/>
    <x v="40"/>
    <x v="40"/>
    <s v="P004"/>
    <x v="7"/>
    <x v="1"/>
    <n v="3"/>
    <n v="79.989999999999995"/>
    <x v="0"/>
    <x v="0"/>
    <x v="1"/>
    <d v="2022-08-06T00:00:00"/>
    <n v="239.97"/>
    <x v="4"/>
    <n v="2024"/>
    <n v="1433"/>
    <n v="3"/>
    <d v="2024-08-31T00:00:00"/>
    <x v="0"/>
    <d v="2026-07-09T21:56:45"/>
  </r>
  <r>
    <x v="97"/>
    <x v="63"/>
    <x v="28"/>
    <x v="28"/>
    <s v="P009"/>
    <x v="0"/>
    <x v="0"/>
    <n v="2"/>
    <n v="249.99"/>
    <x v="0"/>
    <x v="1"/>
    <x v="2"/>
    <d v="2022-01-11T00:00:00"/>
    <n v="499.98"/>
    <x v="4"/>
    <n v="2024"/>
    <n v="1640"/>
    <n v="4"/>
    <d v="2024-08-31T00:00:00"/>
    <x v="0"/>
    <d v="2026-07-09T21:56:45"/>
  </r>
  <r>
    <x v="98"/>
    <x v="64"/>
    <x v="38"/>
    <x v="38"/>
    <s v="P002"/>
    <x v="5"/>
    <x v="0"/>
    <n v="1"/>
    <n v="699.99"/>
    <x v="0"/>
    <x v="0"/>
    <x v="1"/>
    <d v="2021-10-28T00:00:00"/>
    <n v="699.99"/>
    <x v="4"/>
    <n v="2024"/>
    <n v="1715"/>
    <n v="4"/>
    <d v="2024-08-31T00:00:00"/>
    <x v="0"/>
    <d v="2026-07-09T21:56:45"/>
  </r>
  <r>
    <x v="99"/>
    <x v="64"/>
    <x v="41"/>
    <x v="41"/>
    <s v="P003"/>
    <x v="3"/>
    <x v="0"/>
    <n v="3"/>
    <n v="149.99"/>
    <x v="0"/>
    <x v="3"/>
    <x v="1"/>
    <d v="2023-10-13T00:00:00"/>
    <n v="449.97"/>
    <x v="4"/>
    <n v="2024"/>
    <n v="1000"/>
    <n v="2"/>
    <d v="2024-08-31T00:00:00"/>
    <x v="0"/>
    <d v="2026-07-09T21:56:45"/>
  </r>
  <r>
    <x v="100"/>
    <x v="65"/>
    <x v="42"/>
    <x v="42"/>
    <s v="P002"/>
    <x v="5"/>
    <x v="0"/>
    <n v="2"/>
    <n v="699.99"/>
    <x v="1"/>
    <x v="2"/>
    <x v="1"/>
    <d v="2021-08-13T00:00:00"/>
    <n v="1399.98"/>
    <x v="4"/>
    <n v="2024"/>
    <n v="1791"/>
    <n v="4"/>
    <d v="2024-08-31T00:00:00"/>
    <x v="1"/>
    <d v="2026-07-09T21:56:45"/>
  </r>
  <r>
    <x v="101"/>
    <x v="66"/>
    <x v="41"/>
    <x v="41"/>
    <s v="P009"/>
    <x v="0"/>
    <x v="0"/>
    <n v="1"/>
    <n v="249.99"/>
    <x v="1"/>
    <x v="3"/>
    <x v="1"/>
    <d v="2022-05-04T00:00:00"/>
    <n v="249.99"/>
    <x v="5"/>
    <n v="2024"/>
    <n v="1527"/>
    <n v="4"/>
    <d v="2024-09-30T00:00:00"/>
    <x v="0"/>
    <d v="2026-07-09T21:56:45"/>
  </r>
  <r>
    <x v="102"/>
    <x v="66"/>
    <x v="0"/>
    <x v="0"/>
    <s v="P009"/>
    <x v="0"/>
    <x v="0"/>
    <n v="1"/>
    <n v="249.99"/>
    <x v="3"/>
    <x v="2"/>
    <x v="1"/>
    <d v="2024-02-10T00:00:00"/>
    <n v="249.99"/>
    <x v="5"/>
    <n v="2024"/>
    <n v="880"/>
    <n v="2"/>
    <d v="2024-09-30T00:00:00"/>
    <x v="0"/>
    <d v="2026-07-09T21:56:45"/>
  </r>
  <r>
    <x v="103"/>
    <x v="67"/>
    <x v="40"/>
    <x v="40"/>
    <s v="P002"/>
    <x v="5"/>
    <x v="0"/>
    <n v="2"/>
    <n v="699.99"/>
    <x v="3"/>
    <x v="0"/>
    <x v="1"/>
    <d v="2022-11-05T00:00:00"/>
    <n v="1399.98"/>
    <x v="5"/>
    <n v="2024"/>
    <n v="1342"/>
    <n v="3"/>
    <d v="2024-09-30T00:00:00"/>
    <x v="1"/>
    <d v="2026-07-09T21:56:45"/>
  </r>
  <r>
    <x v="104"/>
    <x v="68"/>
    <x v="26"/>
    <x v="26"/>
    <s v="P005"/>
    <x v="1"/>
    <x v="1"/>
    <n v="3"/>
    <n v="59.99"/>
    <x v="1"/>
    <x v="0"/>
    <x v="1"/>
    <d v="2022-06-05T00:00:00"/>
    <n v="179.97"/>
    <x v="5"/>
    <n v="2024"/>
    <n v="1495"/>
    <n v="4"/>
    <d v="2024-09-30T00:00:00"/>
    <x v="0"/>
    <d v="2026-07-09T21:56:45"/>
  </r>
  <r>
    <x v="105"/>
    <x v="69"/>
    <x v="25"/>
    <x v="25"/>
    <s v="P005"/>
    <x v="1"/>
    <x v="1"/>
    <n v="3"/>
    <n v="59.99"/>
    <x v="2"/>
    <x v="4"/>
    <x v="2"/>
    <d v="2022-07-06T00:00:00"/>
    <n v="179.97"/>
    <x v="5"/>
    <n v="2024"/>
    <n v="1464"/>
    <n v="4"/>
    <d v="2024-09-30T00:00:00"/>
    <x v="0"/>
    <d v="2026-07-09T21:56:45"/>
  </r>
  <r>
    <x v="106"/>
    <x v="69"/>
    <x v="27"/>
    <x v="27"/>
    <s v="P004"/>
    <x v="7"/>
    <x v="1"/>
    <n v="4"/>
    <n v="79.989999999999995"/>
    <x v="0"/>
    <x v="2"/>
    <x v="0"/>
    <d v="2021-11-30T00:00:00"/>
    <n v="319.95999999999998"/>
    <x v="5"/>
    <n v="2024"/>
    <n v="1682"/>
    <n v="4"/>
    <d v="2024-09-30T00:00:00"/>
    <x v="0"/>
    <d v="2026-07-09T21:56:45"/>
  </r>
  <r>
    <x v="107"/>
    <x v="70"/>
    <x v="6"/>
    <x v="6"/>
    <s v="P004"/>
    <x v="7"/>
    <x v="1"/>
    <n v="1"/>
    <n v="79.989999999999995"/>
    <x v="0"/>
    <x v="3"/>
    <x v="0"/>
    <d v="2022-05-12T00:00:00"/>
    <n v="79.989999999999995"/>
    <x v="5"/>
    <n v="2024"/>
    <n v="1519"/>
    <n v="4"/>
    <d v="2024-09-30T00:00:00"/>
    <x v="0"/>
    <d v="2026-07-09T21:56:45"/>
  </r>
  <r>
    <x v="108"/>
    <x v="71"/>
    <x v="5"/>
    <x v="5"/>
    <s v="P007"/>
    <x v="6"/>
    <x v="2"/>
    <n v="3"/>
    <n v="299.99"/>
    <x v="1"/>
    <x v="0"/>
    <x v="1"/>
    <d v="2021-10-25T00:00:00"/>
    <n v="899.97"/>
    <x v="5"/>
    <n v="2024"/>
    <n v="1718"/>
    <n v="4"/>
    <d v="2024-09-30T00:00:00"/>
    <x v="0"/>
    <d v="2026-07-09T21:56:45"/>
  </r>
  <r>
    <x v="109"/>
    <x v="72"/>
    <x v="3"/>
    <x v="3"/>
    <s v="P010"/>
    <x v="8"/>
    <x v="0"/>
    <n v="2"/>
    <n v="89.99"/>
    <x v="1"/>
    <x v="1"/>
    <x v="1"/>
    <d v="2022-03-21T00:00:00"/>
    <n v="179.98"/>
    <x v="5"/>
    <n v="2024"/>
    <n v="1571"/>
    <n v="4"/>
    <d v="2024-09-30T00:00:00"/>
    <x v="0"/>
    <d v="2026-07-09T21:56:45"/>
  </r>
  <r>
    <x v="110"/>
    <x v="73"/>
    <x v="43"/>
    <x v="43"/>
    <s v="P003"/>
    <x v="3"/>
    <x v="0"/>
    <n v="4"/>
    <n v="149.99"/>
    <x v="0"/>
    <x v="2"/>
    <x v="0"/>
    <d v="2022-12-14T00:00:00"/>
    <n v="599.96"/>
    <x v="5"/>
    <n v="2024"/>
    <n v="1303"/>
    <n v="3"/>
    <d v="2024-09-30T00:00:00"/>
    <x v="0"/>
    <d v="2026-07-09T21:56:45"/>
  </r>
  <r>
    <x v="111"/>
    <x v="74"/>
    <x v="8"/>
    <x v="8"/>
    <s v="P009"/>
    <x v="0"/>
    <x v="0"/>
    <n v="2"/>
    <n v="249.99"/>
    <x v="2"/>
    <x v="1"/>
    <x v="0"/>
    <d v="2023-03-08T00:00:00"/>
    <n v="499.98"/>
    <x v="5"/>
    <n v="2024"/>
    <n v="1219"/>
    <n v="3"/>
    <d v="2024-09-30T00:00:00"/>
    <x v="0"/>
    <d v="2026-07-09T21:56:45"/>
  </r>
  <r>
    <x v="112"/>
    <x v="74"/>
    <x v="31"/>
    <x v="31"/>
    <s v="P006"/>
    <x v="9"/>
    <x v="2"/>
    <n v="4"/>
    <n v="199.99"/>
    <x v="3"/>
    <x v="4"/>
    <x v="0"/>
    <d v="2021-09-19T00:00:00"/>
    <n v="799.96"/>
    <x v="5"/>
    <n v="2024"/>
    <n v="1754"/>
    <n v="4"/>
    <d v="2024-09-30T00:00:00"/>
    <x v="0"/>
    <d v="2026-07-09T21:56:45"/>
  </r>
  <r>
    <x v="113"/>
    <x v="75"/>
    <x v="29"/>
    <x v="29"/>
    <s v="P010"/>
    <x v="8"/>
    <x v="0"/>
    <n v="5"/>
    <n v="89.99"/>
    <x v="1"/>
    <x v="4"/>
    <x v="1"/>
    <d v="2021-09-07T00:00:00"/>
    <n v="449.95"/>
    <x v="5"/>
    <n v="2024"/>
    <n v="1766"/>
    <n v="4"/>
    <d v="2024-09-30T00:00:00"/>
    <x v="0"/>
    <d v="2026-07-09T21:56:45"/>
  </r>
  <r>
    <x v="114"/>
    <x v="75"/>
    <x v="44"/>
    <x v="44"/>
    <s v="P003"/>
    <x v="3"/>
    <x v="0"/>
    <n v="1"/>
    <n v="149.99"/>
    <x v="2"/>
    <x v="4"/>
    <x v="2"/>
    <d v="2021-10-13T00:00:00"/>
    <n v="149.99"/>
    <x v="5"/>
    <n v="2024"/>
    <n v="1730"/>
    <n v="4"/>
    <d v="2024-09-30T00:00:00"/>
    <x v="0"/>
    <d v="2026-07-09T21:56:45"/>
  </r>
  <r>
    <x v="115"/>
    <x v="75"/>
    <x v="10"/>
    <x v="10"/>
    <s v="P002"/>
    <x v="5"/>
    <x v="0"/>
    <n v="4"/>
    <n v="699.99"/>
    <x v="2"/>
    <x v="1"/>
    <x v="0"/>
    <d v="2022-02-26T00:00:00"/>
    <n v="2799.96"/>
    <x v="5"/>
    <n v="2024"/>
    <n v="1594"/>
    <n v="4"/>
    <d v="2024-09-30T00:00:00"/>
    <x v="1"/>
    <d v="2026-07-09T21:56:45"/>
  </r>
  <r>
    <x v="116"/>
    <x v="76"/>
    <x v="42"/>
    <x v="42"/>
    <s v="P001"/>
    <x v="4"/>
    <x v="0"/>
    <n v="3"/>
    <n v="899.99"/>
    <x v="1"/>
    <x v="2"/>
    <x v="2"/>
    <d v="2023-08-19T00:00:00"/>
    <n v="2699.97"/>
    <x v="5"/>
    <n v="2024"/>
    <n v="1055"/>
    <n v="2"/>
    <d v="2024-09-30T00:00:00"/>
    <x v="1"/>
    <d v="2026-07-09T21:56:45"/>
  </r>
  <r>
    <x v="117"/>
    <x v="77"/>
    <x v="21"/>
    <x v="21"/>
    <s v="P008"/>
    <x v="2"/>
    <x v="2"/>
    <n v="3"/>
    <n v="149.99"/>
    <x v="2"/>
    <x v="4"/>
    <x v="0"/>
    <d v="2022-11-21T00:00:00"/>
    <n v="449.97"/>
    <x v="5"/>
    <n v="2024"/>
    <n v="1326"/>
    <n v="3"/>
    <d v="2024-09-30T00:00:00"/>
    <x v="0"/>
    <d v="2026-07-09T21:56:45"/>
  </r>
  <r>
    <x v="118"/>
    <x v="78"/>
    <x v="18"/>
    <x v="18"/>
    <s v="P007"/>
    <x v="6"/>
    <x v="2"/>
    <n v="2"/>
    <n v="299.99"/>
    <x v="3"/>
    <x v="0"/>
    <x v="0"/>
    <d v="2022-01-08T00:00:00"/>
    <n v="599.98"/>
    <x v="5"/>
    <n v="2024"/>
    <n v="1643"/>
    <n v="4"/>
    <d v="2024-09-30T00:00:00"/>
    <x v="0"/>
    <d v="2026-07-09T21:56:45"/>
  </r>
  <r>
    <x v="119"/>
    <x v="79"/>
    <x v="45"/>
    <x v="45"/>
    <s v="P006"/>
    <x v="9"/>
    <x v="2"/>
    <n v="1"/>
    <n v="199.99"/>
    <x v="3"/>
    <x v="4"/>
    <x v="2"/>
    <d v="2023-01-27T00:00:00"/>
    <n v="199.99"/>
    <x v="5"/>
    <n v="2024"/>
    <n v="1259"/>
    <n v="3"/>
    <d v="2024-09-30T00:00:00"/>
    <x v="0"/>
    <d v="2026-07-09T21:56:45"/>
  </r>
  <r>
    <x v="120"/>
    <x v="80"/>
    <x v="4"/>
    <x v="4"/>
    <s v="P007"/>
    <x v="6"/>
    <x v="2"/>
    <n v="4"/>
    <n v="299.99"/>
    <x v="0"/>
    <x v="0"/>
    <x v="1"/>
    <d v="2021-09-21T00:00:00"/>
    <n v="1199.96"/>
    <x v="6"/>
    <n v="2024"/>
    <n v="1752"/>
    <n v="4"/>
    <d v="2024-10-31T00:00:00"/>
    <x v="1"/>
    <d v="2026-07-09T21:56:45"/>
  </r>
  <r>
    <x v="121"/>
    <x v="81"/>
    <x v="15"/>
    <x v="15"/>
    <s v="P005"/>
    <x v="1"/>
    <x v="1"/>
    <n v="2"/>
    <n v="59.99"/>
    <x v="1"/>
    <x v="0"/>
    <x v="0"/>
    <d v="2022-01-18T00:00:00"/>
    <n v="119.98"/>
    <x v="6"/>
    <n v="2024"/>
    <n v="1633"/>
    <n v="4"/>
    <d v="2024-10-31T00:00:00"/>
    <x v="0"/>
    <d v="2026-07-09T21:56:45"/>
  </r>
  <r>
    <x v="122"/>
    <x v="81"/>
    <x v="42"/>
    <x v="42"/>
    <s v="P003"/>
    <x v="3"/>
    <x v="0"/>
    <n v="4"/>
    <n v="149.99"/>
    <x v="1"/>
    <x v="2"/>
    <x v="1"/>
    <d v="2023-05-30T00:00:00"/>
    <n v="599.96"/>
    <x v="6"/>
    <n v="2024"/>
    <n v="1136"/>
    <n v="3"/>
    <d v="2024-10-31T00:00:00"/>
    <x v="0"/>
    <d v="2026-07-09T21:56:45"/>
  </r>
  <r>
    <x v="123"/>
    <x v="82"/>
    <x v="39"/>
    <x v="39"/>
    <s v="P002"/>
    <x v="5"/>
    <x v="0"/>
    <n v="2"/>
    <n v="699.99"/>
    <x v="3"/>
    <x v="4"/>
    <x v="1"/>
    <d v="2023-12-14T00:00:00"/>
    <n v="1399.98"/>
    <x v="6"/>
    <n v="2024"/>
    <n v="938"/>
    <n v="2"/>
    <d v="2024-10-31T00:00:00"/>
    <x v="1"/>
    <d v="2026-07-09T21:56:45"/>
  </r>
  <r>
    <x v="124"/>
    <x v="82"/>
    <x v="41"/>
    <x v="41"/>
    <s v="P008"/>
    <x v="2"/>
    <x v="2"/>
    <n v="3"/>
    <n v="149.99"/>
    <x v="1"/>
    <x v="1"/>
    <x v="2"/>
    <d v="2023-01-14T00:00:00"/>
    <n v="449.97"/>
    <x v="6"/>
    <n v="2024"/>
    <n v="1272"/>
    <n v="3"/>
    <d v="2024-10-31T00:00:00"/>
    <x v="0"/>
    <d v="2026-07-09T21:56:45"/>
  </r>
  <r>
    <x v="125"/>
    <x v="83"/>
    <x v="29"/>
    <x v="29"/>
    <s v="P007"/>
    <x v="6"/>
    <x v="2"/>
    <n v="3"/>
    <n v="299.99"/>
    <x v="1"/>
    <x v="0"/>
    <x v="2"/>
    <d v="2023-09-05T00:00:00"/>
    <n v="899.97"/>
    <x v="6"/>
    <n v="2024"/>
    <n v="1038"/>
    <n v="2"/>
    <d v="2024-10-31T00:00:00"/>
    <x v="0"/>
    <d v="2026-07-09T21:56:45"/>
  </r>
  <r>
    <x v="126"/>
    <x v="84"/>
    <x v="13"/>
    <x v="13"/>
    <s v="P001"/>
    <x v="4"/>
    <x v="0"/>
    <n v="3"/>
    <n v="899.99"/>
    <x v="2"/>
    <x v="3"/>
    <x v="0"/>
    <d v="2023-10-16T00:00:00"/>
    <n v="2699.97"/>
    <x v="6"/>
    <n v="2024"/>
    <n v="997"/>
    <n v="2"/>
    <d v="2024-10-31T00:00:00"/>
    <x v="1"/>
    <d v="2026-07-09T21:56:45"/>
  </r>
  <r>
    <x v="127"/>
    <x v="85"/>
    <x v="17"/>
    <x v="17"/>
    <s v="P002"/>
    <x v="5"/>
    <x v="0"/>
    <n v="5"/>
    <n v="699.99"/>
    <x v="0"/>
    <x v="4"/>
    <x v="2"/>
    <d v="2023-03-23T00:00:00"/>
    <n v="3499.95"/>
    <x v="6"/>
    <n v="2024"/>
    <n v="1204"/>
    <n v="3"/>
    <d v="2024-10-31T00:00:00"/>
    <x v="1"/>
    <d v="2026-07-09T21:56:45"/>
  </r>
  <r>
    <x v="128"/>
    <x v="85"/>
    <x v="34"/>
    <x v="34"/>
    <s v="P002"/>
    <x v="5"/>
    <x v="0"/>
    <n v="4"/>
    <n v="699.99"/>
    <x v="1"/>
    <x v="0"/>
    <x v="0"/>
    <d v="2024-04-03T00:00:00"/>
    <n v="2799.96"/>
    <x v="6"/>
    <n v="2024"/>
    <n v="827"/>
    <n v="2"/>
    <d v="2024-10-31T00:00:00"/>
    <x v="1"/>
    <d v="2026-07-09T21:56:45"/>
  </r>
  <r>
    <x v="129"/>
    <x v="85"/>
    <x v="30"/>
    <x v="30"/>
    <s v="P001"/>
    <x v="4"/>
    <x v="0"/>
    <n v="1"/>
    <n v="899.99"/>
    <x v="1"/>
    <x v="4"/>
    <x v="2"/>
    <d v="2024-03-18T00:00:00"/>
    <n v="899.99"/>
    <x v="6"/>
    <n v="2024"/>
    <n v="843"/>
    <n v="2"/>
    <d v="2024-10-31T00:00:00"/>
    <x v="0"/>
    <d v="2026-07-09T21:56:45"/>
  </r>
  <r>
    <x v="130"/>
    <x v="86"/>
    <x v="40"/>
    <x v="40"/>
    <s v="P003"/>
    <x v="3"/>
    <x v="0"/>
    <n v="2"/>
    <n v="149.99"/>
    <x v="1"/>
    <x v="3"/>
    <x v="0"/>
    <d v="2022-12-21T00:00:00"/>
    <n v="299.98"/>
    <x v="6"/>
    <n v="2024"/>
    <n v="1296"/>
    <n v="3"/>
    <d v="2024-10-31T00:00:00"/>
    <x v="0"/>
    <d v="2026-07-09T21:56:45"/>
  </r>
  <r>
    <x v="131"/>
    <x v="87"/>
    <x v="40"/>
    <x v="40"/>
    <s v="P010"/>
    <x v="8"/>
    <x v="0"/>
    <n v="3"/>
    <n v="89.99"/>
    <x v="2"/>
    <x v="0"/>
    <x v="0"/>
    <d v="2021-12-21T00:00:00"/>
    <n v="269.97000000000003"/>
    <x v="6"/>
    <n v="2024"/>
    <n v="1661"/>
    <n v="4"/>
    <d v="2024-10-31T00:00:00"/>
    <x v="0"/>
    <d v="2026-07-09T21:56:45"/>
  </r>
  <r>
    <x v="132"/>
    <x v="88"/>
    <x v="3"/>
    <x v="3"/>
    <s v="P003"/>
    <x v="3"/>
    <x v="0"/>
    <n v="2"/>
    <n v="149.99"/>
    <x v="2"/>
    <x v="0"/>
    <x v="0"/>
    <d v="2021-10-04T00:00:00"/>
    <n v="299.98"/>
    <x v="6"/>
    <n v="2024"/>
    <n v="1739"/>
    <n v="4"/>
    <d v="2024-10-31T00:00:00"/>
    <x v="0"/>
    <d v="2026-07-09T21:56:45"/>
  </r>
  <r>
    <x v="133"/>
    <x v="88"/>
    <x v="31"/>
    <x v="31"/>
    <s v="P002"/>
    <x v="5"/>
    <x v="0"/>
    <n v="2"/>
    <n v="699.99"/>
    <x v="0"/>
    <x v="0"/>
    <x v="0"/>
    <d v="2023-03-07T00:00:00"/>
    <n v="1399.98"/>
    <x v="6"/>
    <n v="2024"/>
    <n v="1220"/>
    <n v="3"/>
    <d v="2024-10-31T00:00:00"/>
    <x v="1"/>
    <d v="2026-07-09T21:56:45"/>
  </r>
  <r>
    <x v="134"/>
    <x v="89"/>
    <x v="32"/>
    <x v="32"/>
    <s v="P002"/>
    <x v="5"/>
    <x v="0"/>
    <n v="5"/>
    <n v="699.99"/>
    <x v="0"/>
    <x v="2"/>
    <x v="1"/>
    <d v="2022-03-15T00:00:00"/>
    <n v="3499.95"/>
    <x v="6"/>
    <n v="2024"/>
    <n v="1577"/>
    <n v="4"/>
    <d v="2024-10-31T00:00:00"/>
    <x v="1"/>
    <d v="2026-07-09T21:56:45"/>
  </r>
  <r>
    <x v="135"/>
    <x v="90"/>
    <x v="34"/>
    <x v="34"/>
    <s v="P010"/>
    <x v="8"/>
    <x v="0"/>
    <n v="3"/>
    <n v="89.99"/>
    <x v="1"/>
    <x v="2"/>
    <x v="2"/>
    <d v="2022-02-23T00:00:00"/>
    <n v="269.97000000000003"/>
    <x v="6"/>
    <n v="2024"/>
    <n v="1597"/>
    <n v="4"/>
    <d v="2024-10-31T00:00:00"/>
    <x v="0"/>
    <d v="2026-07-09T21:56:45"/>
  </r>
  <r>
    <x v="136"/>
    <x v="91"/>
    <x v="0"/>
    <x v="0"/>
    <s v="P009"/>
    <x v="0"/>
    <x v="0"/>
    <n v="5"/>
    <n v="249.99"/>
    <x v="1"/>
    <x v="1"/>
    <x v="2"/>
    <d v="2022-11-16T00:00:00"/>
    <n v="1249.95"/>
    <x v="7"/>
    <n v="2024"/>
    <n v="1331"/>
    <n v="3"/>
    <d v="2024-11-30T00:00:00"/>
    <x v="1"/>
    <d v="2026-07-09T21:56:45"/>
  </r>
  <r>
    <x v="137"/>
    <x v="92"/>
    <x v="8"/>
    <x v="8"/>
    <s v="P007"/>
    <x v="6"/>
    <x v="2"/>
    <n v="3"/>
    <n v="299.99"/>
    <x v="1"/>
    <x v="1"/>
    <x v="2"/>
    <d v="2021-11-02T00:00:00"/>
    <n v="899.97"/>
    <x v="7"/>
    <n v="2024"/>
    <n v="1710"/>
    <n v="4"/>
    <d v="2024-11-30T00:00:00"/>
    <x v="0"/>
    <d v="2026-07-09T21:56:45"/>
  </r>
  <r>
    <x v="138"/>
    <x v="93"/>
    <x v="18"/>
    <x v="18"/>
    <s v="P010"/>
    <x v="8"/>
    <x v="0"/>
    <n v="3"/>
    <n v="89.99"/>
    <x v="1"/>
    <x v="2"/>
    <x v="1"/>
    <d v="2021-08-12T00:00:00"/>
    <n v="269.97000000000003"/>
    <x v="7"/>
    <n v="2024"/>
    <n v="1792"/>
    <n v="4"/>
    <d v="2024-11-30T00:00:00"/>
    <x v="0"/>
    <d v="2026-07-09T21:56:45"/>
  </r>
  <r>
    <x v="139"/>
    <x v="94"/>
    <x v="15"/>
    <x v="15"/>
    <s v="P008"/>
    <x v="2"/>
    <x v="2"/>
    <n v="2"/>
    <n v="149.99"/>
    <x v="1"/>
    <x v="3"/>
    <x v="1"/>
    <d v="2022-10-14T00:00:00"/>
    <n v="299.98"/>
    <x v="7"/>
    <n v="2024"/>
    <n v="1364"/>
    <n v="3"/>
    <d v="2024-11-30T00:00:00"/>
    <x v="0"/>
    <d v="2026-07-09T21:56:45"/>
  </r>
  <r>
    <x v="140"/>
    <x v="95"/>
    <x v="36"/>
    <x v="36"/>
    <s v="P009"/>
    <x v="0"/>
    <x v="0"/>
    <n v="1"/>
    <n v="249.99"/>
    <x v="1"/>
    <x v="2"/>
    <x v="1"/>
    <d v="2022-09-24T00:00:00"/>
    <n v="249.99"/>
    <x v="7"/>
    <n v="2024"/>
    <n v="1384"/>
    <n v="3"/>
    <d v="2024-11-30T00:00:00"/>
    <x v="0"/>
    <d v="2026-07-09T21:56:45"/>
  </r>
  <r>
    <x v="141"/>
    <x v="96"/>
    <x v="10"/>
    <x v="10"/>
    <s v="P003"/>
    <x v="3"/>
    <x v="0"/>
    <n v="3"/>
    <n v="149.99"/>
    <x v="0"/>
    <x v="2"/>
    <x v="0"/>
    <d v="2022-07-27T00:00:00"/>
    <n v="449.97"/>
    <x v="7"/>
    <n v="2024"/>
    <n v="1443"/>
    <n v="3"/>
    <d v="2024-11-30T00:00:00"/>
    <x v="0"/>
    <d v="2026-07-09T21:56:45"/>
  </r>
  <r>
    <x v="142"/>
    <x v="96"/>
    <x v="0"/>
    <x v="0"/>
    <s v="P005"/>
    <x v="1"/>
    <x v="1"/>
    <n v="5"/>
    <n v="59.99"/>
    <x v="2"/>
    <x v="3"/>
    <x v="1"/>
    <d v="2022-05-13T00:00:00"/>
    <n v="299.95"/>
    <x v="7"/>
    <n v="2024"/>
    <n v="1518"/>
    <n v="4"/>
    <d v="2024-11-30T00:00:00"/>
    <x v="0"/>
    <d v="2026-07-09T21:56:45"/>
  </r>
  <r>
    <x v="143"/>
    <x v="96"/>
    <x v="18"/>
    <x v="18"/>
    <s v="P009"/>
    <x v="0"/>
    <x v="0"/>
    <n v="4"/>
    <n v="249.99"/>
    <x v="1"/>
    <x v="3"/>
    <x v="2"/>
    <d v="2022-04-08T00:00:00"/>
    <n v="999.96"/>
    <x v="7"/>
    <n v="2024"/>
    <n v="1553"/>
    <n v="4"/>
    <d v="2024-11-30T00:00:00"/>
    <x v="0"/>
    <d v="2026-07-09T21:56:45"/>
  </r>
  <r>
    <x v="144"/>
    <x v="97"/>
    <x v="31"/>
    <x v="31"/>
    <s v="P008"/>
    <x v="2"/>
    <x v="2"/>
    <n v="5"/>
    <n v="149.99"/>
    <x v="2"/>
    <x v="0"/>
    <x v="0"/>
    <d v="2022-12-06T00:00:00"/>
    <n v="749.95"/>
    <x v="7"/>
    <n v="2024"/>
    <n v="1311"/>
    <n v="3"/>
    <d v="2024-11-30T00:00:00"/>
    <x v="0"/>
    <d v="2026-07-09T21:56:45"/>
  </r>
  <r>
    <x v="145"/>
    <x v="97"/>
    <x v="13"/>
    <x v="13"/>
    <s v="P005"/>
    <x v="1"/>
    <x v="1"/>
    <n v="3"/>
    <n v="59.99"/>
    <x v="3"/>
    <x v="1"/>
    <x v="2"/>
    <d v="2023-11-30T00:00:00"/>
    <n v="179.97"/>
    <x v="7"/>
    <n v="2024"/>
    <n v="952"/>
    <n v="2"/>
    <d v="2024-11-30T00:00:00"/>
    <x v="0"/>
    <d v="2026-07-09T21:56:45"/>
  </r>
  <r>
    <x v="146"/>
    <x v="98"/>
    <x v="42"/>
    <x v="42"/>
    <s v="P008"/>
    <x v="2"/>
    <x v="2"/>
    <n v="5"/>
    <n v="149.99"/>
    <x v="0"/>
    <x v="2"/>
    <x v="0"/>
    <d v="2022-11-04T00:00:00"/>
    <n v="749.95"/>
    <x v="7"/>
    <n v="2024"/>
    <n v="1343"/>
    <n v="3"/>
    <d v="2024-11-30T00:00:00"/>
    <x v="0"/>
    <d v="2026-07-09T21:56:45"/>
  </r>
  <r>
    <x v="147"/>
    <x v="98"/>
    <x v="14"/>
    <x v="14"/>
    <s v="P002"/>
    <x v="5"/>
    <x v="0"/>
    <n v="2"/>
    <n v="699.99"/>
    <x v="2"/>
    <x v="3"/>
    <x v="2"/>
    <d v="2022-07-28T00:00:00"/>
    <n v="1399.98"/>
    <x v="7"/>
    <n v="2024"/>
    <n v="1442"/>
    <n v="3"/>
    <d v="2024-11-30T00:00:00"/>
    <x v="1"/>
    <d v="2026-07-09T21:56:45"/>
  </r>
  <r>
    <x v="148"/>
    <x v="99"/>
    <x v="23"/>
    <x v="23"/>
    <s v="P006"/>
    <x v="9"/>
    <x v="2"/>
    <n v="4"/>
    <n v="199.99"/>
    <x v="3"/>
    <x v="0"/>
    <x v="1"/>
    <d v="2021-08-19T00:00:00"/>
    <n v="799.96"/>
    <x v="7"/>
    <n v="2024"/>
    <n v="1785"/>
    <n v="4"/>
    <d v="2024-11-30T00:00:00"/>
    <x v="0"/>
    <d v="2026-07-09T21:56:45"/>
  </r>
  <r>
    <x v="149"/>
    <x v="100"/>
    <x v="37"/>
    <x v="37"/>
    <s v="P005"/>
    <x v="1"/>
    <x v="1"/>
    <n v="1"/>
    <n v="59.99"/>
    <x v="3"/>
    <x v="3"/>
    <x v="2"/>
    <d v="2021-12-30T00:00:00"/>
    <n v="59.99"/>
    <x v="7"/>
    <n v="2024"/>
    <n v="1652"/>
    <n v="4"/>
    <d v="2024-11-30T00:00:00"/>
    <x v="0"/>
    <d v="2026-07-09T21:56:45"/>
  </r>
  <r>
    <x v="150"/>
    <x v="100"/>
    <x v="31"/>
    <x v="31"/>
    <s v="P002"/>
    <x v="5"/>
    <x v="0"/>
    <n v="3"/>
    <n v="699.99"/>
    <x v="2"/>
    <x v="3"/>
    <x v="2"/>
    <d v="2022-01-22T00:00:00"/>
    <n v="2099.9699999999998"/>
    <x v="7"/>
    <n v="2024"/>
    <n v="1629"/>
    <n v="4"/>
    <d v="2024-11-30T00:00:00"/>
    <x v="1"/>
    <d v="2026-07-09T21:56:45"/>
  </r>
  <r>
    <x v="151"/>
    <x v="101"/>
    <x v="46"/>
    <x v="46"/>
    <s v="P009"/>
    <x v="0"/>
    <x v="0"/>
    <n v="5"/>
    <n v="249.99"/>
    <x v="1"/>
    <x v="2"/>
    <x v="0"/>
    <d v="2022-11-08T00:00:00"/>
    <n v="1249.95"/>
    <x v="7"/>
    <n v="2024"/>
    <n v="1339"/>
    <n v="3"/>
    <d v="2024-11-30T00:00:00"/>
    <x v="1"/>
    <d v="2026-07-09T21:56:45"/>
  </r>
  <r>
    <x v="152"/>
    <x v="102"/>
    <x v="21"/>
    <x v="21"/>
    <s v="P008"/>
    <x v="2"/>
    <x v="2"/>
    <n v="2"/>
    <n v="149.99"/>
    <x v="0"/>
    <x v="1"/>
    <x v="2"/>
    <d v="2023-06-24T00:00:00"/>
    <n v="299.98"/>
    <x v="7"/>
    <n v="2024"/>
    <n v="1111"/>
    <n v="3"/>
    <d v="2024-11-30T00:00:00"/>
    <x v="0"/>
    <d v="2026-07-09T21:56:45"/>
  </r>
  <r>
    <x v="153"/>
    <x v="103"/>
    <x v="2"/>
    <x v="2"/>
    <s v="P007"/>
    <x v="6"/>
    <x v="2"/>
    <n v="3"/>
    <n v="299.99"/>
    <x v="0"/>
    <x v="1"/>
    <x v="1"/>
    <d v="2022-04-08T00:00:00"/>
    <n v="899.97"/>
    <x v="8"/>
    <n v="2024"/>
    <n v="1553"/>
    <n v="4"/>
    <d v="2024-12-31T00:00:00"/>
    <x v="0"/>
    <d v="2026-07-09T21:56:45"/>
  </r>
  <r>
    <x v="154"/>
    <x v="103"/>
    <x v="6"/>
    <x v="6"/>
    <s v="P009"/>
    <x v="0"/>
    <x v="0"/>
    <n v="5"/>
    <n v="249.99"/>
    <x v="0"/>
    <x v="0"/>
    <x v="1"/>
    <d v="2021-10-16T00:00:00"/>
    <n v="1249.95"/>
    <x v="8"/>
    <n v="2024"/>
    <n v="1727"/>
    <n v="4"/>
    <d v="2024-12-31T00:00:00"/>
    <x v="1"/>
    <d v="2026-07-09T21:56:45"/>
  </r>
  <r>
    <x v="155"/>
    <x v="103"/>
    <x v="1"/>
    <x v="1"/>
    <s v="P003"/>
    <x v="3"/>
    <x v="0"/>
    <n v="2"/>
    <n v="149.99"/>
    <x v="0"/>
    <x v="1"/>
    <x v="1"/>
    <d v="2021-10-06T00:00:00"/>
    <n v="299.98"/>
    <x v="8"/>
    <n v="2024"/>
    <n v="1737"/>
    <n v="4"/>
    <d v="2024-12-31T00:00:00"/>
    <x v="0"/>
    <d v="2026-07-09T21:56:45"/>
  </r>
  <r>
    <x v="156"/>
    <x v="103"/>
    <x v="14"/>
    <x v="14"/>
    <s v="P002"/>
    <x v="5"/>
    <x v="0"/>
    <n v="5"/>
    <n v="699.99"/>
    <x v="3"/>
    <x v="3"/>
    <x v="2"/>
    <d v="2023-01-18T00:00:00"/>
    <n v="3499.95"/>
    <x v="8"/>
    <n v="2024"/>
    <n v="1268"/>
    <n v="3"/>
    <d v="2024-12-31T00:00:00"/>
    <x v="1"/>
    <d v="2026-07-09T21:56:45"/>
  </r>
  <r>
    <x v="157"/>
    <x v="104"/>
    <x v="44"/>
    <x v="44"/>
    <s v="P009"/>
    <x v="0"/>
    <x v="0"/>
    <n v="4"/>
    <n v="249.99"/>
    <x v="2"/>
    <x v="4"/>
    <x v="1"/>
    <d v="2023-06-21T00:00:00"/>
    <n v="999.96"/>
    <x v="8"/>
    <n v="2024"/>
    <n v="1114"/>
    <n v="3"/>
    <d v="2024-12-31T00:00:00"/>
    <x v="0"/>
    <d v="2026-07-09T21:56:45"/>
  </r>
  <r>
    <x v="158"/>
    <x v="105"/>
    <x v="5"/>
    <x v="5"/>
    <s v="P002"/>
    <x v="5"/>
    <x v="0"/>
    <n v="4"/>
    <n v="699.99"/>
    <x v="1"/>
    <x v="2"/>
    <x v="1"/>
    <d v="2022-05-22T00:00:00"/>
    <n v="2799.96"/>
    <x v="8"/>
    <n v="2024"/>
    <n v="1509"/>
    <n v="4"/>
    <d v="2024-12-31T00:00:00"/>
    <x v="1"/>
    <d v="2026-07-09T21:56:45"/>
  </r>
  <r>
    <x v="159"/>
    <x v="106"/>
    <x v="20"/>
    <x v="20"/>
    <s v="P009"/>
    <x v="0"/>
    <x v="0"/>
    <n v="2"/>
    <n v="249.99"/>
    <x v="1"/>
    <x v="0"/>
    <x v="1"/>
    <d v="2021-07-19T00:00:00"/>
    <n v="499.98"/>
    <x v="8"/>
    <n v="2024"/>
    <n v="1816"/>
    <n v="4"/>
    <d v="2024-12-31T00:00:00"/>
    <x v="0"/>
    <d v="2026-07-09T21:56:45"/>
  </r>
  <r>
    <x v="160"/>
    <x v="106"/>
    <x v="47"/>
    <x v="47"/>
    <s v="P005"/>
    <x v="1"/>
    <x v="1"/>
    <n v="3"/>
    <n v="59.99"/>
    <x v="0"/>
    <x v="0"/>
    <x v="1"/>
    <d v="2023-05-06T00:00:00"/>
    <n v="179.97"/>
    <x v="8"/>
    <n v="2024"/>
    <n v="1160"/>
    <n v="3"/>
    <d v="2024-12-31T00:00:00"/>
    <x v="0"/>
    <d v="2026-07-09T21:56:45"/>
  </r>
  <r>
    <x v="161"/>
    <x v="106"/>
    <x v="27"/>
    <x v="27"/>
    <s v="P004"/>
    <x v="7"/>
    <x v="1"/>
    <n v="4"/>
    <n v="79.989999999999995"/>
    <x v="3"/>
    <x v="4"/>
    <x v="2"/>
    <d v="2022-12-26T00:00:00"/>
    <n v="319.95999999999998"/>
    <x v="8"/>
    <n v="2024"/>
    <n v="1291"/>
    <n v="3"/>
    <d v="2024-12-31T00:00:00"/>
    <x v="0"/>
    <d v="2026-07-09T21:56:45"/>
  </r>
  <r>
    <x v="162"/>
    <x v="107"/>
    <x v="22"/>
    <x v="22"/>
    <s v="P004"/>
    <x v="7"/>
    <x v="1"/>
    <n v="3"/>
    <n v="79.989999999999995"/>
    <x v="3"/>
    <x v="4"/>
    <x v="2"/>
    <d v="2022-08-06T00:00:00"/>
    <n v="239.97"/>
    <x v="8"/>
    <n v="2024"/>
    <n v="1433"/>
    <n v="3"/>
    <d v="2024-12-31T00:00:00"/>
    <x v="0"/>
    <d v="2026-07-09T21:56:45"/>
  </r>
  <r>
    <x v="163"/>
    <x v="108"/>
    <x v="10"/>
    <x v="10"/>
    <s v="P001"/>
    <x v="4"/>
    <x v="0"/>
    <n v="2"/>
    <n v="899.99"/>
    <x v="0"/>
    <x v="2"/>
    <x v="0"/>
    <d v="2021-07-29T00:00:00"/>
    <n v="1799.98"/>
    <x v="8"/>
    <n v="2024"/>
    <n v="1806"/>
    <n v="4"/>
    <d v="2024-12-31T00:00:00"/>
    <x v="1"/>
    <d v="2026-07-09T21:56:45"/>
  </r>
  <r>
    <x v="164"/>
    <x v="109"/>
    <x v="35"/>
    <x v="35"/>
    <s v="P008"/>
    <x v="2"/>
    <x v="2"/>
    <n v="1"/>
    <n v="149.99"/>
    <x v="3"/>
    <x v="4"/>
    <x v="2"/>
    <d v="2023-10-01T00:00:00"/>
    <n v="149.99"/>
    <x v="8"/>
    <n v="2024"/>
    <n v="1012"/>
    <n v="2"/>
    <d v="2024-12-31T00:00:00"/>
    <x v="0"/>
    <d v="2026-07-09T21:56:45"/>
  </r>
  <r>
    <x v="165"/>
    <x v="109"/>
    <x v="26"/>
    <x v="26"/>
    <s v="P007"/>
    <x v="6"/>
    <x v="2"/>
    <n v="2"/>
    <n v="299.99"/>
    <x v="0"/>
    <x v="4"/>
    <x v="1"/>
    <d v="2022-06-12T00:00:00"/>
    <n v="599.98"/>
    <x v="8"/>
    <n v="2024"/>
    <n v="1488"/>
    <n v="4"/>
    <d v="2024-12-31T00:00:00"/>
    <x v="0"/>
    <d v="2026-07-09T21:56:45"/>
  </r>
  <r>
    <x v="166"/>
    <x v="110"/>
    <x v="25"/>
    <x v="25"/>
    <s v="P005"/>
    <x v="1"/>
    <x v="1"/>
    <n v="2"/>
    <n v="59.99"/>
    <x v="0"/>
    <x v="3"/>
    <x v="0"/>
    <d v="2023-09-22T00:00:00"/>
    <n v="119.98"/>
    <x v="8"/>
    <n v="2024"/>
    <n v="1021"/>
    <n v="2"/>
    <d v="2024-12-31T00:00:00"/>
    <x v="0"/>
    <d v="2026-07-09T21:56:45"/>
  </r>
  <r>
    <x v="167"/>
    <x v="111"/>
    <x v="35"/>
    <x v="35"/>
    <s v="P010"/>
    <x v="8"/>
    <x v="0"/>
    <n v="1"/>
    <n v="89.99"/>
    <x v="3"/>
    <x v="0"/>
    <x v="2"/>
    <d v="2022-07-18T00:00:00"/>
    <n v="89.99"/>
    <x v="8"/>
    <n v="2024"/>
    <n v="1452"/>
    <n v="3"/>
    <d v="2024-12-31T00:00:00"/>
    <x v="0"/>
    <d v="2026-07-09T21:56:45"/>
  </r>
  <r>
    <x v="168"/>
    <x v="111"/>
    <x v="29"/>
    <x v="29"/>
    <s v="P001"/>
    <x v="4"/>
    <x v="0"/>
    <n v="5"/>
    <n v="899.99"/>
    <x v="3"/>
    <x v="4"/>
    <x v="2"/>
    <d v="2022-03-05T00:00:00"/>
    <n v="4499.95"/>
    <x v="8"/>
    <n v="2024"/>
    <n v="1587"/>
    <n v="4"/>
    <d v="2024-12-31T00:00:00"/>
    <x v="1"/>
    <d v="2026-07-09T21:56:45"/>
  </r>
  <r>
    <x v="169"/>
    <x v="112"/>
    <x v="4"/>
    <x v="4"/>
    <s v="P008"/>
    <x v="2"/>
    <x v="2"/>
    <n v="2"/>
    <n v="149.99"/>
    <x v="0"/>
    <x v="1"/>
    <x v="0"/>
    <d v="2023-11-09T00:00:00"/>
    <n v="299.98"/>
    <x v="8"/>
    <n v="2024"/>
    <n v="973"/>
    <n v="2"/>
    <d v="2024-12-31T00:00:00"/>
    <x v="0"/>
    <d v="2026-07-09T21:56:45"/>
  </r>
  <r>
    <x v="170"/>
    <x v="113"/>
    <x v="21"/>
    <x v="21"/>
    <s v="P003"/>
    <x v="3"/>
    <x v="0"/>
    <n v="2"/>
    <n v="149.99"/>
    <x v="3"/>
    <x v="3"/>
    <x v="1"/>
    <d v="2023-12-20T00:00:00"/>
    <n v="299.98"/>
    <x v="8"/>
    <n v="2024"/>
    <n v="932"/>
    <n v="2"/>
    <d v="2024-12-31T00:00:00"/>
    <x v="0"/>
    <d v="2026-07-09T21:56:45"/>
  </r>
  <r>
    <x v="171"/>
    <x v="113"/>
    <x v="35"/>
    <x v="35"/>
    <s v="P008"/>
    <x v="2"/>
    <x v="2"/>
    <n v="3"/>
    <n v="149.99"/>
    <x v="3"/>
    <x v="2"/>
    <x v="2"/>
    <d v="2021-11-22T00:00:00"/>
    <n v="449.97"/>
    <x v="8"/>
    <n v="2024"/>
    <n v="1690"/>
    <n v="4"/>
    <d v="2024-12-31T00:00:00"/>
    <x v="0"/>
    <d v="2026-07-09T21:56:45"/>
  </r>
  <r>
    <x v="172"/>
    <x v="114"/>
    <x v="2"/>
    <x v="2"/>
    <s v="P007"/>
    <x v="6"/>
    <x v="2"/>
    <n v="2"/>
    <n v="299.99"/>
    <x v="2"/>
    <x v="1"/>
    <x v="0"/>
    <d v="2022-06-09T00:00:00"/>
    <n v="599.98"/>
    <x v="8"/>
    <n v="2024"/>
    <n v="1491"/>
    <n v="4"/>
    <d v="2024-12-31T00:00:00"/>
    <x v="0"/>
    <d v="2026-07-09T21:56:45"/>
  </r>
  <r>
    <x v="173"/>
    <x v="115"/>
    <x v="4"/>
    <x v="4"/>
    <s v="P007"/>
    <x v="6"/>
    <x v="2"/>
    <n v="2"/>
    <n v="299.99"/>
    <x v="0"/>
    <x v="3"/>
    <x v="0"/>
    <d v="2022-07-29T00:00:00"/>
    <n v="599.98"/>
    <x v="8"/>
    <n v="2024"/>
    <n v="1441"/>
    <n v="3"/>
    <d v="2024-12-31T00:00:00"/>
    <x v="0"/>
    <d v="2026-07-09T21:56:45"/>
  </r>
  <r>
    <x v="174"/>
    <x v="115"/>
    <x v="22"/>
    <x v="22"/>
    <s v="P006"/>
    <x v="9"/>
    <x v="2"/>
    <n v="4"/>
    <n v="199.99"/>
    <x v="1"/>
    <x v="0"/>
    <x v="0"/>
    <d v="2021-11-23T00:00:00"/>
    <n v="799.96"/>
    <x v="8"/>
    <n v="2024"/>
    <n v="1689"/>
    <n v="4"/>
    <d v="2024-12-31T00:00:00"/>
    <x v="0"/>
    <d v="2026-07-09T21:56:45"/>
  </r>
  <r>
    <x v="175"/>
    <x v="116"/>
    <x v="7"/>
    <x v="7"/>
    <s v="P010"/>
    <x v="8"/>
    <x v="0"/>
    <n v="1"/>
    <n v="89.99"/>
    <x v="1"/>
    <x v="1"/>
    <x v="1"/>
    <d v="2022-01-30T00:00:00"/>
    <n v="89.99"/>
    <x v="8"/>
    <n v="2024"/>
    <n v="1621"/>
    <n v="4"/>
    <d v="2024-12-31T00:00:00"/>
    <x v="0"/>
    <d v="2026-07-09T21:56:45"/>
  </r>
  <r>
    <x v="176"/>
    <x v="116"/>
    <x v="20"/>
    <x v="20"/>
    <s v="P008"/>
    <x v="2"/>
    <x v="2"/>
    <n v="5"/>
    <n v="149.99"/>
    <x v="0"/>
    <x v="0"/>
    <x v="1"/>
    <d v="2024-02-25T00:00:00"/>
    <n v="749.95"/>
    <x v="8"/>
    <n v="2024"/>
    <n v="865"/>
    <n v="2"/>
    <d v="2024-12-31T00:00:00"/>
    <x v="0"/>
    <d v="2026-07-09T21:56:45"/>
  </r>
  <r>
    <x v="177"/>
    <x v="117"/>
    <x v="14"/>
    <x v="14"/>
    <s v="P001"/>
    <x v="4"/>
    <x v="0"/>
    <n v="1"/>
    <n v="899.99"/>
    <x v="2"/>
    <x v="2"/>
    <x v="1"/>
    <d v="2023-05-04T00:00:00"/>
    <n v="899.99"/>
    <x v="8"/>
    <n v="2024"/>
    <n v="1162"/>
    <n v="3"/>
    <d v="2024-12-31T00:00:00"/>
    <x v="0"/>
    <d v="2026-07-09T21:56:45"/>
  </r>
  <r>
    <x v="178"/>
    <x v="118"/>
    <x v="29"/>
    <x v="29"/>
    <s v="P010"/>
    <x v="8"/>
    <x v="0"/>
    <n v="2"/>
    <n v="89.99"/>
    <x v="1"/>
    <x v="1"/>
    <x v="1"/>
    <d v="2022-01-03T00:00:00"/>
    <n v="179.98"/>
    <x v="9"/>
    <n v="2025"/>
    <n v="1648"/>
    <n v="4"/>
    <d v="2025-01-31T00:00:00"/>
    <x v="0"/>
    <d v="2026-07-09T21:56:45"/>
  </r>
  <r>
    <x v="179"/>
    <x v="119"/>
    <x v="48"/>
    <x v="48"/>
    <s v="P001"/>
    <x v="4"/>
    <x v="0"/>
    <n v="1"/>
    <n v="899.99"/>
    <x v="2"/>
    <x v="2"/>
    <x v="2"/>
    <d v="2022-07-10T00:00:00"/>
    <n v="899.99"/>
    <x v="9"/>
    <n v="2025"/>
    <n v="1460"/>
    <n v="3"/>
    <d v="2025-01-31T00:00:00"/>
    <x v="0"/>
    <d v="2026-07-09T21:56:45"/>
  </r>
  <r>
    <x v="180"/>
    <x v="120"/>
    <x v="24"/>
    <x v="24"/>
    <s v="P003"/>
    <x v="3"/>
    <x v="0"/>
    <n v="5"/>
    <n v="149.99"/>
    <x v="2"/>
    <x v="4"/>
    <x v="1"/>
    <d v="2022-09-20T00:00:00"/>
    <n v="749.95"/>
    <x v="9"/>
    <n v="2025"/>
    <n v="1388"/>
    <n v="3"/>
    <d v="2025-01-31T00:00:00"/>
    <x v="0"/>
    <d v="2026-07-09T21:56:45"/>
  </r>
  <r>
    <x v="181"/>
    <x v="120"/>
    <x v="4"/>
    <x v="4"/>
    <s v="P007"/>
    <x v="6"/>
    <x v="2"/>
    <n v="3"/>
    <n v="299.99"/>
    <x v="0"/>
    <x v="1"/>
    <x v="2"/>
    <d v="2021-08-14T00:00:00"/>
    <n v="899.97"/>
    <x v="9"/>
    <n v="2025"/>
    <n v="1790"/>
    <n v="4"/>
    <d v="2025-01-31T00:00:00"/>
    <x v="0"/>
    <d v="2026-07-09T21:56:45"/>
  </r>
  <r>
    <x v="182"/>
    <x v="121"/>
    <x v="8"/>
    <x v="8"/>
    <s v="P002"/>
    <x v="5"/>
    <x v="0"/>
    <n v="3"/>
    <n v="699.99"/>
    <x v="1"/>
    <x v="0"/>
    <x v="1"/>
    <d v="2023-06-28T00:00:00"/>
    <n v="2099.9699999999998"/>
    <x v="9"/>
    <n v="2025"/>
    <n v="1107"/>
    <n v="3"/>
    <d v="2025-01-31T00:00:00"/>
    <x v="1"/>
    <d v="2026-07-09T21:56:45"/>
  </r>
  <r>
    <x v="183"/>
    <x v="122"/>
    <x v="20"/>
    <x v="20"/>
    <s v="P006"/>
    <x v="9"/>
    <x v="2"/>
    <n v="5"/>
    <n v="199.99"/>
    <x v="2"/>
    <x v="0"/>
    <x v="2"/>
    <d v="2022-03-13T00:00:00"/>
    <n v="999.95"/>
    <x v="9"/>
    <n v="2025"/>
    <n v="1579"/>
    <n v="4"/>
    <d v="2025-01-31T00:00:00"/>
    <x v="0"/>
    <d v="2026-07-09T21:56:45"/>
  </r>
  <r>
    <x v="184"/>
    <x v="122"/>
    <x v="16"/>
    <x v="16"/>
    <s v="P009"/>
    <x v="0"/>
    <x v="0"/>
    <n v="5"/>
    <n v="249.99"/>
    <x v="1"/>
    <x v="1"/>
    <x v="0"/>
    <d v="2024-02-08T00:00:00"/>
    <n v="1249.95"/>
    <x v="9"/>
    <n v="2025"/>
    <n v="882"/>
    <n v="2"/>
    <d v="2025-01-31T00:00:00"/>
    <x v="1"/>
    <d v="2026-07-09T21:56:45"/>
  </r>
  <r>
    <x v="185"/>
    <x v="123"/>
    <x v="26"/>
    <x v="26"/>
    <s v="P003"/>
    <x v="3"/>
    <x v="0"/>
    <n v="4"/>
    <n v="149.99"/>
    <x v="3"/>
    <x v="4"/>
    <x v="2"/>
    <d v="2021-12-06T00:00:00"/>
    <n v="599.96"/>
    <x v="9"/>
    <n v="2025"/>
    <n v="1676"/>
    <n v="4"/>
    <d v="2025-01-31T00:00:00"/>
    <x v="0"/>
    <d v="2026-07-09T21:56:45"/>
  </r>
  <r>
    <x v="186"/>
    <x v="123"/>
    <x v="12"/>
    <x v="12"/>
    <s v="P002"/>
    <x v="5"/>
    <x v="0"/>
    <n v="3"/>
    <n v="699.99"/>
    <x v="0"/>
    <x v="2"/>
    <x v="1"/>
    <d v="2022-02-10T00:00:00"/>
    <n v="2099.9699999999998"/>
    <x v="9"/>
    <n v="2025"/>
    <n v="1610"/>
    <n v="4"/>
    <d v="2025-01-31T00:00:00"/>
    <x v="1"/>
    <d v="2026-07-09T21:56:45"/>
  </r>
  <r>
    <x v="187"/>
    <x v="124"/>
    <x v="46"/>
    <x v="46"/>
    <s v="P004"/>
    <x v="7"/>
    <x v="1"/>
    <n v="1"/>
    <n v="79.989999999999995"/>
    <x v="1"/>
    <x v="1"/>
    <x v="0"/>
    <d v="2024-01-31T00:00:00"/>
    <n v="79.989999999999995"/>
    <x v="9"/>
    <n v="2025"/>
    <n v="890"/>
    <n v="2"/>
    <d v="2025-01-31T00:00:00"/>
    <x v="0"/>
    <d v="2026-07-09T21:56:45"/>
  </r>
  <r>
    <x v="188"/>
    <x v="124"/>
    <x v="14"/>
    <x v="14"/>
    <s v="P007"/>
    <x v="6"/>
    <x v="2"/>
    <n v="1"/>
    <n v="299.99"/>
    <x v="1"/>
    <x v="2"/>
    <x v="0"/>
    <d v="2021-08-28T00:00:00"/>
    <n v="299.99"/>
    <x v="9"/>
    <n v="2025"/>
    <n v="1776"/>
    <n v="4"/>
    <d v="2025-01-31T00:00:00"/>
    <x v="0"/>
    <d v="2026-07-09T21:56:45"/>
  </r>
  <r>
    <x v="189"/>
    <x v="125"/>
    <x v="32"/>
    <x v="32"/>
    <s v="P009"/>
    <x v="0"/>
    <x v="0"/>
    <n v="4"/>
    <n v="249.99"/>
    <x v="1"/>
    <x v="2"/>
    <x v="1"/>
    <d v="2021-09-21T00:00:00"/>
    <n v="999.96"/>
    <x v="9"/>
    <n v="2025"/>
    <n v="1752"/>
    <n v="4"/>
    <d v="2025-01-31T00:00:00"/>
    <x v="0"/>
    <d v="2026-07-09T21:56:45"/>
  </r>
  <r>
    <x v="190"/>
    <x v="125"/>
    <x v="22"/>
    <x v="22"/>
    <s v="P003"/>
    <x v="3"/>
    <x v="0"/>
    <n v="2"/>
    <n v="149.99"/>
    <x v="0"/>
    <x v="2"/>
    <x v="2"/>
    <d v="2022-12-18T00:00:00"/>
    <n v="299.98"/>
    <x v="9"/>
    <n v="2025"/>
    <n v="1299"/>
    <n v="3"/>
    <d v="2025-01-31T00:00:00"/>
    <x v="0"/>
    <d v="2026-07-09T21:56:45"/>
  </r>
  <r>
    <x v="191"/>
    <x v="125"/>
    <x v="42"/>
    <x v="42"/>
    <s v="P007"/>
    <x v="6"/>
    <x v="2"/>
    <n v="3"/>
    <n v="299.99"/>
    <x v="1"/>
    <x v="1"/>
    <x v="0"/>
    <d v="2023-10-05T00:00:00"/>
    <n v="899.97"/>
    <x v="9"/>
    <n v="2025"/>
    <n v="1008"/>
    <n v="2"/>
    <d v="2025-01-31T00:00:00"/>
    <x v="0"/>
    <d v="2026-07-09T21:56:45"/>
  </r>
  <r>
    <x v="192"/>
    <x v="126"/>
    <x v="40"/>
    <x v="40"/>
    <s v="P006"/>
    <x v="9"/>
    <x v="2"/>
    <n v="4"/>
    <n v="199.99"/>
    <x v="3"/>
    <x v="1"/>
    <x v="2"/>
    <d v="2021-12-14T00:00:00"/>
    <n v="799.96"/>
    <x v="9"/>
    <n v="2025"/>
    <n v="1668"/>
    <n v="4"/>
    <d v="2025-01-31T00:00:00"/>
    <x v="0"/>
    <d v="2026-07-09T21:56:45"/>
  </r>
  <r>
    <x v="193"/>
    <x v="126"/>
    <x v="39"/>
    <x v="39"/>
    <s v="P007"/>
    <x v="6"/>
    <x v="2"/>
    <n v="5"/>
    <n v="299.99"/>
    <x v="3"/>
    <x v="0"/>
    <x v="0"/>
    <d v="2021-08-23T00:00:00"/>
    <n v="1499.95"/>
    <x v="9"/>
    <n v="2025"/>
    <n v="1781"/>
    <n v="4"/>
    <d v="2025-01-31T00:00:00"/>
    <x v="1"/>
    <d v="2026-07-09T21:56:45"/>
  </r>
  <r>
    <x v="194"/>
    <x v="126"/>
    <x v="7"/>
    <x v="7"/>
    <s v="P008"/>
    <x v="2"/>
    <x v="2"/>
    <n v="3"/>
    <n v="149.99"/>
    <x v="1"/>
    <x v="4"/>
    <x v="2"/>
    <d v="2021-07-18T00:00:00"/>
    <n v="449.97"/>
    <x v="9"/>
    <n v="2025"/>
    <n v="1817"/>
    <n v="4"/>
    <d v="2025-01-31T00:00:00"/>
    <x v="0"/>
    <d v="2026-07-09T21:56:45"/>
  </r>
  <r>
    <x v="195"/>
    <x v="127"/>
    <x v="24"/>
    <x v="24"/>
    <s v="P005"/>
    <x v="1"/>
    <x v="1"/>
    <n v="5"/>
    <n v="59.99"/>
    <x v="3"/>
    <x v="4"/>
    <x v="0"/>
    <d v="2022-03-22T00:00:00"/>
    <n v="299.95"/>
    <x v="9"/>
    <n v="2025"/>
    <n v="1570"/>
    <n v="4"/>
    <d v="2025-01-31T00:00:00"/>
    <x v="0"/>
    <d v="2026-07-09T21:56:45"/>
  </r>
  <r>
    <x v="196"/>
    <x v="128"/>
    <x v="9"/>
    <x v="9"/>
    <s v="P005"/>
    <x v="1"/>
    <x v="1"/>
    <n v="4"/>
    <n v="59.99"/>
    <x v="3"/>
    <x v="4"/>
    <x v="2"/>
    <d v="2022-01-03T00:00:00"/>
    <n v="239.96"/>
    <x v="9"/>
    <n v="2025"/>
    <n v="1648"/>
    <n v="4"/>
    <d v="2025-01-31T00:00:00"/>
    <x v="0"/>
    <d v="2026-07-09T21:56:45"/>
  </r>
  <r>
    <x v="197"/>
    <x v="129"/>
    <x v="5"/>
    <x v="5"/>
    <s v="P009"/>
    <x v="0"/>
    <x v="0"/>
    <n v="4"/>
    <n v="249.99"/>
    <x v="3"/>
    <x v="0"/>
    <x v="1"/>
    <d v="2023-10-18T00:00:00"/>
    <n v="999.96"/>
    <x v="9"/>
    <n v="2025"/>
    <n v="995"/>
    <n v="2"/>
    <d v="2025-01-31T00:00:00"/>
    <x v="0"/>
    <d v="2026-07-09T21:56:45"/>
  </r>
  <r>
    <x v="198"/>
    <x v="130"/>
    <x v="44"/>
    <x v="44"/>
    <s v="P001"/>
    <x v="4"/>
    <x v="0"/>
    <n v="4"/>
    <n v="899.99"/>
    <x v="2"/>
    <x v="0"/>
    <x v="0"/>
    <d v="2022-06-22T00:00:00"/>
    <n v="3599.96"/>
    <x v="9"/>
    <n v="2025"/>
    <n v="1478"/>
    <n v="4"/>
    <d v="2025-01-31T00:00:00"/>
    <x v="1"/>
    <d v="2026-07-09T21:56:45"/>
  </r>
  <r>
    <x v="199"/>
    <x v="130"/>
    <x v="14"/>
    <x v="14"/>
    <s v="P007"/>
    <x v="6"/>
    <x v="2"/>
    <n v="3"/>
    <n v="299.99"/>
    <x v="3"/>
    <x v="3"/>
    <x v="2"/>
    <d v="2023-01-26T00:00:00"/>
    <n v="899.97"/>
    <x v="9"/>
    <n v="2025"/>
    <n v="1260"/>
    <n v="3"/>
    <d v="2025-01-31T00:00:00"/>
    <x v="0"/>
    <d v="2026-07-09T21:56:45"/>
  </r>
  <r>
    <x v="200"/>
    <x v="130"/>
    <x v="46"/>
    <x v="46"/>
    <s v="P002"/>
    <x v="5"/>
    <x v="0"/>
    <n v="2"/>
    <n v="699.99"/>
    <x v="3"/>
    <x v="0"/>
    <x v="1"/>
    <d v="2022-04-30T00:00:00"/>
    <n v="1399.98"/>
    <x v="9"/>
    <n v="2025"/>
    <n v="1531"/>
    <n v="4"/>
    <d v="2025-01-31T00:00:00"/>
    <x v="1"/>
    <d v="2026-07-09T21:56:45"/>
  </r>
  <r>
    <x v="201"/>
    <x v="131"/>
    <x v="8"/>
    <x v="8"/>
    <s v="P002"/>
    <x v="5"/>
    <x v="0"/>
    <n v="4"/>
    <n v="699.99"/>
    <x v="3"/>
    <x v="3"/>
    <x v="1"/>
    <d v="2022-05-11T00:00:00"/>
    <n v="2799.96"/>
    <x v="9"/>
    <n v="2025"/>
    <n v="1520"/>
    <n v="4"/>
    <d v="2025-01-31T00:00:00"/>
    <x v="1"/>
    <d v="2026-07-09T21:56:45"/>
  </r>
  <r>
    <x v="202"/>
    <x v="131"/>
    <x v="23"/>
    <x v="23"/>
    <s v="P010"/>
    <x v="8"/>
    <x v="0"/>
    <n v="2"/>
    <n v="89.99"/>
    <x v="3"/>
    <x v="1"/>
    <x v="0"/>
    <d v="2022-08-04T00:00:00"/>
    <n v="179.98"/>
    <x v="9"/>
    <n v="2025"/>
    <n v="1435"/>
    <n v="3"/>
    <d v="2025-01-31T00:00:00"/>
    <x v="0"/>
    <d v="2026-07-09T21:56:45"/>
  </r>
  <r>
    <x v="203"/>
    <x v="131"/>
    <x v="4"/>
    <x v="4"/>
    <s v="P010"/>
    <x v="8"/>
    <x v="0"/>
    <n v="3"/>
    <n v="89.99"/>
    <x v="3"/>
    <x v="1"/>
    <x v="1"/>
    <d v="2024-01-16T00:00:00"/>
    <n v="269.97000000000003"/>
    <x v="9"/>
    <n v="2025"/>
    <n v="905"/>
    <n v="2"/>
    <d v="2025-01-31T00:00:00"/>
    <x v="0"/>
    <d v="2026-07-09T21:56:45"/>
  </r>
  <r>
    <x v="204"/>
    <x v="132"/>
    <x v="48"/>
    <x v="48"/>
    <s v="P005"/>
    <x v="1"/>
    <x v="1"/>
    <n v="1"/>
    <n v="59.99"/>
    <x v="3"/>
    <x v="0"/>
    <x v="2"/>
    <d v="2023-04-29T00:00:00"/>
    <n v="59.99"/>
    <x v="10"/>
    <n v="2025"/>
    <n v="1167"/>
    <n v="3"/>
    <d v="2025-02-28T00:00:00"/>
    <x v="0"/>
    <d v="2026-07-09T21:56:45"/>
  </r>
  <r>
    <x v="205"/>
    <x v="133"/>
    <x v="43"/>
    <x v="43"/>
    <s v="P008"/>
    <x v="2"/>
    <x v="2"/>
    <n v="3"/>
    <n v="149.99"/>
    <x v="3"/>
    <x v="2"/>
    <x v="1"/>
    <d v="2022-01-03T00:00:00"/>
    <n v="449.97"/>
    <x v="10"/>
    <n v="2025"/>
    <n v="1648"/>
    <n v="4"/>
    <d v="2025-02-28T00:00:00"/>
    <x v="0"/>
    <d v="2026-07-09T21:56:45"/>
  </r>
  <r>
    <x v="206"/>
    <x v="133"/>
    <x v="16"/>
    <x v="16"/>
    <s v="P007"/>
    <x v="6"/>
    <x v="2"/>
    <n v="5"/>
    <n v="299.99"/>
    <x v="1"/>
    <x v="1"/>
    <x v="0"/>
    <d v="2023-02-02T00:00:00"/>
    <n v="1499.95"/>
    <x v="10"/>
    <n v="2025"/>
    <n v="1253"/>
    <n v="3"/>
    <d v="2025-02-28T00:00:00"/>
    <x v="1"/>
    <d v="2026-07-09T21:56:45"/>
  </r>
  <r>
    <x v="207"/>
    <x v="134"/>
    <x v="30"/>
    <x v="30"/>
    <s v="P005"/>
    <x v="1"/>
    <x v="1"/>
    <n v="5"/>
    <n v="59.99"/>
    <x v="3"/>
    <x v="0"/>
    <x v="2"/>
    <d v="2023-09-08T00:00:00"/>
    <n v="299.95"/>
    <x v="10"/>
    <n v="2025"/>
    <n v="1035"/>
    <n v="2"/>
    <d v="2025-02-28T00:00:00"/>
    <x v="0"/>
    <d v="2026-07-09T21:56:45"/>
  </r>
  <r>
    <x v="208"/>
    <x v="135"/>
    <x v="20"/>
    <x v="20"/>
    <s v="P004"/>
    <x v="7"/>
    <x v="1"/>
    <n v="3"/>
    <n v="79.989999999999995"/>
    <x v="0"/>
    <x v="4"/>
    <x v="1"/>
    <d v="2021-08-28T00:00:00"/>
    <n v="239.97"/>
    <x v="10"/>
    <n v="2025"/>
    <n v="1776"/>
    <n v="4"/>
    <d v="2025-02-28T00:00:00"/>
    <x v="0"/>
    <d v="2026-07-09T21:56:45"/>
  </r>
  <r>
    <x v="209"/>
    <x v="136"/>
    <x v="2"/>
    <x v="2"/>
    <s v="P006"/>
    <x v="9"/>
    <x v="2"/>
    <n v="3"/>
    <n v="199.99"/>
    <x v="0"/>
    <x v="0"/>
    <x v="0"/>
    <d v="2022-06-23T00:00:00"/>
    <n v="599.97"/>
    <x v="10"/>
    <n v="2025"/>
    <n v="1477"/>
    <n v="4"/>
    <d v="2025-02-28T00:00:00"/>
    <x v="0"/>
    <d v="2026-07-09T21:56:45"/>
  </r>
  <r>
    <x v="210"/>
    <x v="136"/>
    <x v="0"/>
    <x v="0"/>
    <s v="P010"/>
    <x v="8"/>
    <x v="0"/>
    <n v="2"/>
    <n v="89.99"/>
    <x v="2"/>
    <x v="0"/>
    <x v="0"/>
    <d v="2023-11-27T00:00:00"/>
    <n v="179.98"/>
    <x v="10"/>
    <n v="2025"/>
    <n v="955"/>
    <n v="2"/>
    <d v="2025-02-28T00:00:00"/>
    <x v="0"/>
    <d v="2026-07-09T21:56:45"/>
  </r>
  <r>
    <x v="211"/>
    <x v="137"/>
    <x v="45"/>
    <x v="45"/>
    <s v="P008"/>
    <x v="2"/>
    <x v="2"/>
    <n v="2"/>
    <n v="149.99"/>
    <x v="0"/>
    <x v="1"/>
    <x v="1"/>
    <d v="2022-06-16T00:00:00"/>
    <n v="299.98"/>
    <x v="10"/>
    <n v="2025"/>
    <n v="1484"/>
    <n v="4"/>
    <d v="2025-02-28T00:00:00"/>
    <x v="0"/>
    <d v="2026-07-09T21:56:45"/>
  </r>
  <r>
    <x v="212"/>
    <x v="138"/>
    <x v="23"/>
    <x v="23"/>
    <s v="P002"/>
    <x v="5"/>
    <x v="0"/>
    <n v="5"/>
    <n v="699.99"/>
    <x v="2"/>
    <x v="1"/>
    <x v="1"/>
    <d v="2024-03-01T00:00:00"/>
    <n v="3499.95"/>
    <x v="10"/>
    <n v="2025"/>
    <n v="860"/>
    <n v="2"/>
    <d v="2025-02-28T00:00:00"/>
    <x v="1"/>
    <d v="2026-07-09T21:56:45"/>
  </r>
  <r>
    <x v="213"/>
    <x v="138"/>
    <x v="4"/>
    <x v="4"/>
    <s v="P008"/>
    <x v="2"/>
    <x v="2"/>
    <n v="3"/>
    <n v="149.99"/>
    <x v="2"/>
    <x v="0"/>
    <x v="2"/>
    <d v="2022-03-13T00:00:00"/>
    <n v="449.97"/>
    <x v="10"/>
    <n v="2025"/>
    <n v="1579"/>
    <n v="4"/>
    <d v="2025-02-28T00:00:00"/>
    <x v="0"/>
    <d v="2026-07-09T21:56:45"/>
  </r>
  <r>
    <x v="214"/>
    <x v="139"/>
    <x v="17"/>
    <x v="17"/>
    <s v="P001"/>
    <x v="4"/>
    <x v="0"/>
    <n v="3"/>
    <n v="899.99"/>
    <x v="0"/>
    <x v="4"/>
    <x v="2"/>
    <d v="2022-02-21T00:00:00"/>
    <n v="2699.97"/>
    <x v="10"/>
    <n v="2025"/>
    <n v="1599"/>
    <n v="4"/>
    <d v="2025-02-28T00:00:00"/>
    <x v="1"/>
    <d v="2026-07-09T21:56:45"/>
  </r>
  <r>
    <x v="215"/>
    <x v="139"/>
    <x v="37"/>
    <x v="37"/>
    <s v="P006"/>
    <x v="9"/>
    <x v="2"/>
    <n v="3"/>
    <n v="199.99"/>
    <x v="0"/>
    <x v="3"/>
    <x v="1"/>
    <d v="2022-09-19T00:00:00"/>
    <n v="599.97"/>
    <x v="10"/>
    <n v="2025"/>
    <n v="1389"/>
    <n v="3"/>
    <d v="2025-02-28T00:00:00"/>
    <x v="0"/>
    <d v="2026-07-09T21:56:45"/>
  </r>
  <r>
    <x v="216"/>
    <x v="140"/>
    <x v="6"/>
    <x v="6"/>
    <s v="P007"/>
    <x v="6"/>
    <x v="2"/>
    <n v="5"/>
    <n v="299.99"/>
    <x v="0"/>
    <x v="3"/>
    <x v="2"/>
    <d v="2023-08-04T00:00:00"/>
    <n v="1499.95"/>
    <x v="10"/>
    <n v="2025"/>
    <n v="1070"/>
    <n v="2"/>
    <d v="2025-02-28T00:00:00"/>
    <x v="1"/>
    <d v="2026-07-09T21:56:45"/>
  </r>
  <r>
    <x v="217"/>
    <x v="140"/>
    <x v="30"/>
    <x v="30"/>
    <s v="P002"/>
    <x v="5"/>
    <x v="0"/>
    <n v="1"/>
    <n v="699.99"/>
    <x v="2"/>
    <x v="3"/>
    <x v="0"/>
    <d v="2023-01-08T00:00:00"/>
    <n v="699.99"/>
    <x v="10"/>
    <n v="2025"/>
    <n v="1278"/>
    <n v="3"/>
    <d v="2025-02-28T00:00:00"/>
    <x v="0"/>
    <d v="2026-07-09T21:56:45"/>
  </r>
  <r>
    <x v="218"/>
    <x v="141"/>
    <x v="43"/>
    <x v="43"/>
    <s v="P002"/>
    <x v="5"/>
    <x v="0"/>
    <n v="1"/>
    <n v="699.99"/>
    <x v="0"/>
    <x v="2"/>
    <x v="1"/>
    <d v="2022-01-22T00:00:00"/>
    <n v="699.99"/>
    <x v="10"/>
    <n v="2025"/>
    <n v="1629"/>
    <n v="4"/>
    <d v="2025-02-28T00:00:00"/>
    <x v="0"/>
    <d v="2026-07-09T21:56:45"/>
  </r>
  <r>
    <x v="219"/>
    <x v="141"/>
    <x v="48"/>
    <x v="48"/>
    <s v="P008"/>
    <x v="2"/>
    <x v="2"/>
    <n v="4"/>
    <n v="149.99"/>
    <x v="2"/>
    <x v="2"/>
    <x v="1"/>
    <d v="2021-08-04T00:00:00"/>
    <n v="599.96"/>
    <x v="10"/>
    <n v="2025"/>
    <n v="1800"/>
    <n v="4"/>
    <d v="2025-02-28T00:00:00"/>
    <x v="0"/>
    <d v="2026-07-09T21:56:45"/>
  </r>
  <r>
    <x v="220"/>
    <x v="141"/>
    <x v="39"/>
    <x v="39"/>
    <s v="P010"/>
    <x v="8"/>
    <x v="0"/>
    <n v="5"/>
    <n v="89.99"/>
    <x v="2"/>
    <x v="3"/>
    <x v="1"/>
    <d v="2023-08-02T00:00:00"/>
    <n v="449.95"/>
    <x v="10"/>
    <n v="2025"/>
    <n v="1072"/>
    <n v="2"/>
    <d v="2025-02-28T00:00:00"/>
    <x v="0"/>
    <d v="2026-07-09T21:56:45"/>
  </r>
  <r>
    <x v="221"/>
    <x v="142"/>
    <x v="26"/>
    <x v="26"/>
    <s v="P006"/>
    <x v="9"/>
    <x v="2"/>
    <n v="2"/>
    <n v="199.99"/>
    <x v="0"/>
    <x v="0"/>
    <x v="1"/>
    <d v="2022-01-12T00:00:00"/>
    <n v="399.98"/>
    <x v="10"/>
    <n v="2025"/>
    <n v="1639"/>
    <n v="4"/>
    <d v="2025-02-28T00:00:00"/>
    <x v="0"/>
    <d v="2026-07-09T21:56:45"/>
  </r>
  <r>
    <x v="222"/>
    <x v="143"/>
    <x v="45"/>
    <x v="45"/>
    <s v="P005"/>
    <x v="1"/>
    <x v="1"/>
    <n v="4"/>
    <n v="59.99"/>
    <x v="0"/>
    <x v="3"/>
    <x v="2"/>
    <d v="2023-05-24T00:00:00"/>
    <n v="239.96"/>
    <x v="10"/>
    <n v="2025"/>
    <n v="1142"/>
    <n v="3"/>
    <d v="2025-02-28T00:00:00"/>
    <x v="0"/>
    <d v="2026-07-09T21:56:45"/>
  </r>
  <r>
    <x v="223"/>
    <x v="143"/>
    <x v="16"/>
    <x v="16"/>
    <s v="P007"/>
    <x v="6"/>
    <x v="2"/>
    <n v="2"/>
    <n v="299.99"/>
    <x v="2"/>
    <x v="1"/>
    <x v="0"/>
    <d v="2022-01-15T00:00:00"/>
    <n v="599.98"/>
    <x v="10"/>
    <n v="2025"/>
    <n v="1636"/>
    <n v="4"/>
    <d v="2025-02-28T00:00:00"/>
    <x v="0"/>
    <d v="2026-07-09T21:56:45"/>
  </r>
  <r>
    <x v="224"/>
    <x v="144"/>
    <x v="6"/>
    <x v="6"/>
    <s v="P008"/>
    <x v="2"/>
    <x v="2"/>
    <n v="2"/>
    <n v="149.99"/>
    <x v="0"/>
    <x v="0"/>
    <x v="0"/>
    <d v="2023-05-22T00:00:00"/>
    <n v="299.98"/>
    <x v="11"/>
    <n v="2025"/>
    <n v="1144"/>
    <n v="3"/>
    <d v="2025-03-31T00:00:00"/>
    <x v="0"/>
    <d v="2026-07-09T21:56:45"/>
  </r>
  <r>
    <x v="225"/>
    <x v="145"/>
    <x v="40"/>
    <x v="40"/>
    <s v="P002"/>
    <x v="5"/>
    <x v="0"/>
    <n v="5"/>
    <n v="699.99"/>
    <x v="3"/>
    <x v="4"/>
    <x v="1"/>
    <d v="2023-08-23T00:00:00"/>
    <n v="3499.95"/>
    <x v="11"/>
    <n v="2025"/>
    <n v="1051"/>
    <n v="2"/>
    <d v="2025-03-31T00:00:00"/>
    <x v="1"/>
    <d v="2026-07-09T21:56:45"/>
  </r>
  <r>
    <x v="226"/>
    <x v="146"/>
    <x v="11"/>
    <x v="11"/>
    <s v="P005"/>
    <x v="1"/>
    <x v="1"/>
    <n v="5"/>
    <n v="59.99"/>
    <x v="0"/>
    <x v="3"/>
    <x v="1"/>
    <d v="2023-12-31T00:00:00"/>
    <n v="299.95"/>
    <x v="11"/>
    <n v="2025"/>
    <n v="921"/>
    <n v="2"/>
    <d v="2025-03-31T00:00:00"/>
    <x v="0"/>
    <d v="2026-07-09T21:56:45"/>
  </r>
  <r>
    <x v="227"/>
    <x v="147"/>
    <x v="0"/>
    <x v="0"/>
    <s v="P010"/>
    <x v="8"/>
    <x v="0"/>
    <n v="2"/>
    <n v="89.99"/>
    <x v="1"/>
    <x v="3"/>
    <x v="1"/>
    <d v="2024-01-04T00:00:00"/>
    <n v="179.98"/>
    <x v="11"/>
    <n v="2025"/>
    <n v="917"/>
    <n v="2"/>
    <d v="2025-03-31T00:00:00"/>
    <x v="0"/>
    <d v="2026-07-09T21:56:45"/>
  </r>
  <r>
    <x v="228"/>
    <x v="147"/>
    <x v="22"/>
    <x v="22"/>
    <s v="P009"/>
    <x v="0"/>
    <x v="0"/>
    <n v="5"/>
    <n v="249.99"/>
    <x v="0"/>
    <x v="4"/>
    <x v="2"/>
    <d v="2021-12-10T00:00:00"/>
    <n v="1249.95"/>
    <x v="11"/>
    <n v="2025"/>
    <n v="1672"/>
    <n v="4"/>
    <d v="2025-03-31T00:00:00"/>
    <x v="1"/>
    <d v="2026-07-09T21:56:45"/>
  </r>
  <r>
    <x v="229"/>
    <x v="148"/>
    <x v="40"/>
    <x v="40"/>
    <s v="P008"/>
    <x v="2"/>
    <x v="2"/>
    <n v="2"/>
    <n v="149.99"/>
    <x v="2"/>
    <x v="0"/>
    <x v="1"/>
    <d v="2022-03-12T00:00:00"/>
    <n v="299.98"/>
    <x v="11"/>
    <n v="2025"/>
    <n v="1580"/>
    <n v="4"/>
    <d v="2025-03-31T00:00:00"/>
    <x v="0"/>
    <d v="2026-07-09T21:56:45"/>
  </r>
  <r>
    <x v="230"/>
    <x v="148"/>
    <x v="28"/>
    <x v="28"/>
    <s v="P001"/>
    <x v="4"/>
    <x v="0"/>
    <n v="5"/>
    <n v="899.99"/>
    <x v="2"/>
    <x v="4"/>
    <x v="1"/>
    <d v="2024-04-07T00:00:00"/>
    <n v="4499.95"/>
    <x v="11"/>
    <n v="2025"/>
    <n v="823"/>
    <n v="2"/>
    <d v="2025-03-31T00:00:00"/>
    <x v="1"/>
    <d v="2026-07-09T21:56:45"/>
  </r>
  <r>
    <x v="231"/>
    <x v="148"/>
    <x v="6"/>
    <x v="6"/>
    <s v="P008"/>
    <x v="2"/>
    <x v="2"/>
    <n v="4"/>
    <n v="149.99"/>
    <x v="0"/>
    <x v="0"/>
    <x v="2"/>
    <d v="2023-12-03T00:00:00"/>
    <n v="599.96"/>
    <x v="11"/>
    <n v="2025"/>
    <n v="949"/>
    <n v="2"/>
    <d v="2025-03-31T00:00:00"/>
    <x v="0"/>
    <d v="2026-07-09T21:56:45"/>
  </r>
  <r>
    <x v="232"/>
    <x v="149"/>
    <x v="28"/>
    <x v="28"/>
    <s v="P009"/>
    <x v="0"/>
    <x v="0"/>
    <n v="1"/>
    <n v="249.99"/>
    <x v="0"/>
    <x v="2"/>
    <x v="2"/>
    <d v="2023-07-10T00:00:00"/>
    <n v="249.99"/>
    <x v="11"/>
    <n v="2025"/>
    <n v="1095"/>
    <n v="2"/>
    <d v="2025-03-31T00:00:00"/>
    <x v="0"/>
    <d v="2026-07-09T21:56:45"/>
  </r>
  <r>
    <x v="233"/>
    <x v="150"/>
    <x v="37"/>
    <x v="37"/>
    <s v="P005"/>
    <x v="1"/>
    <x v="1"/>
    <n v="2"/>
    <n v="59.99"/>
    <x v="1"/>
    <x v="3"/>
    <x v="0"/>
    <d v="2023-09-24T00:00:00"/>
    <n v="119.98"/>
    <x v="11"/>
    <n v="2025"/>
    <n v="1019"/>
    <n v="2"/>
    <d v="2025-03-31T00:00:00"/>
    <x v="0"/>
    <d v="2026-07-09T21:56:45"/>
  </r>
  <r>
    <x v="234"/>
    <x v="151"/>
    <x v="25"/>
    <x v="25"/>
    <s v="P008"/>
    <x v="2"/>
    <x v="2"/>
    <n v="2"/>
    <n v="149.99"/>
    <x v="0"/>
    <x v="3"/>
    <x v="1"/>
    <d v="2023-11-03T00:00:00"/>
    <n v="299.98"/>
    <x v="11"/>
    <n v="2025"/>
    <n v="979"/>
    <n v="2"/>
    <d v="2025-03-31T00:00:00"/>
    <x v="0"/>
    <d v="2026-07-09T21:56:45"/>
  </r>
  <r>
    <x v="235"/>
    <x v="151"/>
    <x v="30"/>
    <x v="30"/>
    <s v="P001"/>
    <x v="4"/>
    <x v="0"/>
    <n v="3"/>
    <n v="899.99"/>
    <x v="3"/>
    <x v="2"/>
    <x v="1"/>
    <d v="2022-11-11T00:00:00"/>
    <n v="2699.97"/>
    <x v="11"/>
    <n v="2025"/>
    <n v="1336"/>
    <n v="3"/>
    <d v="2025-03-31T00:00:00"/>
    <x v="1"/>
    <d v="2026-07-09T21:56:45"/>
  </r>
  <r>
    <x v="236"/>
    <x v="151"/>
    <x v="5"/>
    <x v="5"/>
    <s v="P001"/>
    <x v="4"/>
    <x v="0"/>
    <n v="3"/>
    <n v="899.99"/>
    <x v="2"/>
    <x v="2"/>
    <x v="0"/>
    <d v="2023-02-18T00:00:00"/>
    <n v="2699.97"/>
    <x v="11"/>
    <n v="2025"/>
    <n v="1237"/>
    <n v="3"/>
    <d v="2025-03-31T00:00:00"/>
    <x v="1"/>
    <d v="2026-07-09T21:56:45"/>
  </r>
  <r>
    <x v="237"/>
    <x v="152"/>
    <x v="0"/>
    <x v="0"/>
    <s v="P007"/>
    <x v="6"/>
    <x v="2"/>
    <n v="3"/>
    <n v="299.99"/>
    <x v="1"/>
    <x v="3"/>
    <x v="1"/>
    <d v="2023-11-04T00:00:00"/>
    <n v="899.97"/>
    <x v="11"/>
    <n v="2025"/>
    <n v="978"/>
    <n v="2"/>
    <d v="2025-03-31T00:00:00"/>
    <x v="0"/>
    <d v="2026-07-09T21:56:45"/>
  </r>
  <r>
    <x v="238"/>
    <x v="153"/>
    <x v="49"/>
    <x v="49"/>
    <s v="P008"/>
    <x v="2"/>
    <x v="2"/>
    <n v="4"/>
    <n v="149.99"/>
    <x v="2"/>
    <x v="3"/>
    <x v="2"/>
    <d v="2021-12-30T00:00:00"/>
    <n v="599.96"/>
    <x v="11"/>
    <n v="2025"/>
    <n v="1652"/>
    <n v="4"/>
    <d v="2025-03-31T00:00:00"/>
    <x v="0"/>
    <d v="2026-07-09T21:56:45"/>
  </r>
  <r>
    <x v="239"/>
    <x v="154"/>
    <x v="19"/>
    <x v="19"/>
    <s v="P004"/>
    <x v="7"/>
    <x v="1"/>
    <n v="4"/>
    <n v="79.989999999999995"/>
    <x v="1"/>
    <x v="0"/>
    <x v="0"/>
    <d v="2023-12-28T00:00:00"/>
    <n v="319.95999999999998"/>
    <x v="11"/>
    <n v="2025"/>
    <n v="924"/>
    <n v="2"/>
    <d v="2025-03-31T00:00:00"/>
    <x v="0"/>
    <d v="2026-07-09T21:56:45"/>
  </r>
  <r>
    <x v="240"/>
    <x v="155"/>
    <x v="36"/>
    <x v="36"/>
    <s v="P010"/>
    <x v="8"/>
    <x v="0"/>
    <n v="5"/>
    <n v="89.99"/>
    <x v="2"/>
    <x v="1"/>
    <x v="0"/>
    <d v="2022-05-23T00:00:00"/>
    <n v="449.95"/>
    <x v="11"/>
    <n v="2025"/>
    <n v="1508"/>
    <n v="4"/>
    <d v="2025-03-31T00:00:00"/>
    <x v="0"/>
    <d v="2026-07-09T21:56:45"/>
  </r>
  <r>
    <x v="241"/>
    <x v="156"/>
    <x v="16"/>
    <x v="16"/>
    <s v="P008"/>
    <x v="2"/>
    <x v="2"/>
    <n v="3"/>
    <n v="149.99"/>
    <x v="2"/>
    <x v="0"/>
    <x v="2"/>
    <d v="2023-09-02T00:00:00"/>
    <n v="449.97"/>
    <x v="11"/>
    <n v="2025"/>
    <n v="1041"/>
    <n v="2"/>
    <d v="2025-03-31T00:00:00"/>
    <x v="0"/>
    <d v="2026-07-09T21:56:45"/>
  </r>
  <r>
    <x v="242"/>
    <x v="156"/>
    <x v="8"/>
    <x v="8"/>
    <s v="P010"/>
    <x v="8"/>
    <x v="0"/>
    <n v="2"/>
    <n v="89.99"/>
    <x v="3"/>
    <x v="3"/>
    <x v="1"/>
    <d v="2021-11-22T00:00:00"/>
    <n v="179.98"/>
    <x v="11"/>
    <n v="2025"/>
    <n v="1690"/>
    <n v="4"/>
    <d v="2025-03-31T00:00:00"/>
    <x v="0"/>
    <d v="2026-07-09T21:56:45"/>
  </r>
  <r>
    <x v="243"/>
    <x v="157"/>
    <x v="19"/>
    <x v="19"/>
    <s v="P002"/>
    <x v="5"/>
    <x v="0"/>
    <n v="2"/>
    <n v="699.99"/>
    <x v="2"/>
    <x v="2"/>
    <x v="2"/>
    <d v="2022-02-26T00:00:00"/>
    <n v="1399.98"/>
    <x v="12"/>
    <n v="2025"/>
    <n v="1594"/>
    <n v="4"/>
    <d v="2025-04-30T00:00:00"/>
    <x v="1"/>
    <d v="2026-07-09T21:56:45"/>
  </r>
  <r>
    <x v="244"/>
    <x v="158"/>
    <x v="23"/>
    <x v="23"/>
    <s v="P001"/>
    <x v="4"/>
    <x v="0"/>
    <n v="3"/>
    <n v="899.99"/>
    <x v="0"/>
    <x v="0"/>
    <x v="2"/>
    <d v="2023-01-27T00:00:00"/>
    <n v="2699.97"/>
    <x v="12"/>
    <n v="2025"/>
    <n v="1259"/>
    <n v="3"/>
    <d v="2025-04-30T00:00:00"/>
    <x v="1"/>
    <d v="2026-07-09T21:56:45"/>
  </r>
  <r>
    <x v="245"/>
    <x v="159"/>
    <x v="16"/>
    <x v="16"/>
    <s v="P004"/>
    <x v="7"/>
    <x v="1"/>
    <n v="3"/>
    <n v="79.989999999999995"/>
    <x v="1"/>
    <x v="2"/>
    <x v="0"/>
    <d v="2021-11-11T00:00:00"/>
    <n v="239.97"/>
    <x v="12"/>
    <n v="2025"/>
    <n v="1701"/>
    <n v="4"/>
    <d v="2025-04-30T00:00:00"/>
    <x v="0"/>
    <d v="2026-07-09T21:56:45"/>
  </r>
  <r>
    <x v="246"/>
    <x v="160"/>
    <x v="7"/>
    <x v="7"/>
    <s v="P010"/>
    <x v="8"/>
    <x v="0"/>
    <n v="1"/>
    <n v="89.99"/>
    <x v="3"/>
    <x v="4"/>
    <x v="0"/>
    <d v="2024-02-24T00:00:00"/>
    <n v="89.99"/>
    <x v="12"/>
    <n v="2025"/>
    <n v="866"/>
    <n v="2"/>
    <d v="2025-04-30T00:00:00"/>
    <x v="0"/>
    <d v="2026-07-09T21:56:45"/>
  </r>
  <r>
    <x v="247"/>
    <x v="161"/>
    <x v="46"/>
    <x v="46"/>
    <s v="P002"/>
    <x v="5"/>
    <x v="0"/>
    <n v="3"/>
    <n v="699.99"/>
    <x v="2"/>
    <x v="2"/>
    <x v="0"/>
    <d v="2022-12-14T00:00:00"/>
    <n v="2099.9699999999998"/>
    <x v="12"/>
    <n v="2025"/>
    <n v="1303"/>
    <n v="3"/>
    <d v="2025-04-30T00:00:00"/>
    <x v="1"/>
    <d v="2026-07-09T21:56:45"/>
  </r>
  <r>
    <x v="248"/>
    <x v="161"/>
    <x v="40"/>
    <x v="40"/>
    <s v="P010"/>
    <x v="8"/>
    <x v="0"/>
    <n v="2"/>
    <n v="89.99"/>
    <x v="3"/>
    <x v="4"/>
    <x v="0"/>
    <d v="2023-06-11T00:00:00"/>
    <n v="179.98"/>
    <x v="12"/>
    <n v="2025"/>
    <n v="1124"/>
    <n v="3"/>
    <d v="2025-04-30T00:00:00"/>
    <x v="0"/>
    <d v="2026-07-09T21:56:45"/>
  </r>
  <r>
    <x v="249"/>
    <x v="161"/>
    <x v="26"/>
    <x v="26"/>
    <s v="P010"/>
    <x v="8"/>
    <x v="0"/>
    <n v="3"/>
    <n v="89.99"/>
    <x v="3"/>
    <x v="2"/>
    <x v="1"/>
    <d v="2022-11-13T00:00:00"/>
    <n v="269.97000000000003"/>
    <x v="12"/>
    <n v="2025"/>
    <n v="1334"/>
    <n v="3"/>
    <d v="2025-04-30T00:00:00"/>
    <x v="0"/>
    <d v="2026-07-09T21:5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9BF1C-8C7D-45AD-A36B-0EBE9706155A}" name="PivotTable6"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9" rowHeaderCaption="Product">
  <location ref="E4:F14"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0">
        <item x="1"/>
        <item x="2"/>
        <item x="7"/>
        <item x="6"/>
        <item x="3"/>
        <item x="8"/>
        <item x="4"/>
        <item x="0"/>
        <item x="9"/>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5"/>
  </rowFields>
  <rowItems count="10">
    <i>
      <x v="1"/>
    </i>
    <i>
      <x v="9"/>
    </i>
    <i>
      <x v="5"/>
    </i>
    <i>
      <x v="7"/>
    </i>
    <i>
      <x/>
    </i>
    <i>
      <x v="3"/>
    </i>
    <i>
      <x v="6"/>
    </i>
    <i>
      <x v="8"/>
    </i>
    <i>
      <x v="4"/>
    </i>
    <i>
      <x v="2"/>
    </i>
  </rowItems>
  <colItems count="1">
    <i/>
  </colItems>
  <dataFields count="1">
    <dataField name="Quantity Sold" fld="7" baseField="5"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861E23-680D-45A7-A537-B8B031F77D1F}" name="PivotTable10"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rowHeaderCaption="Customer Name">
  <location ref="A25:B75"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0">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3"/>
  </rowFields>
  <rowItems count="50">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rowItems>
  <colItems count="1">
    <i/>
  </colItems>
  <dataFields count="1">
    <dataField name="Total Sales" fld="13" baseField="3" baseItem="18" numFmtId="168"/>
  </dataFields>
  <formats count="2">
    <format dxfId="3">
      <pivotArea dataOnly="0" labelOnly="1" outline="0" axis="axisValues" fieldPosition="0"/>
    </format>
    <format dxfId="2">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14BC9-4E8D-43A5-849C-B64348AA6AA6}" name="PivotTable11"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rowHeaderCaption="Region">
  <location ref="E30:F35" firstHeaderRow="1" firstDataRow="1" firstDataCol="1"/>
  <pivotFields count="21">
    <pivotField compact="0" outline="0" showAll="0" defaultSubtotal="0"/>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pivotField>
    <pivotField dataField="1" compact="0" outline="0" showAll="0" defaultSubtotal="0">
      <items count="50">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s>
    </pivotField>
    <pivotField compact="0" outline="0" showAll="0" defaultSubtotal="0"/>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compact="0" outline="0" showAll="0" defaultSubtotal="0"/>
    <pivotField compact="0" outline="0" showAll="0" defaultSubtotal="0">
      <items count="4">
        <item x="0"/>
        <item x="1"/>
        <item x="3"/>
        <item x="2"/>
      </items>
    </pivotField>
    <pivotField axis="axisRow" compact="0" outline="0" showAll="0" defaultSubtotal="0">
      <items count="5">
        <item x="0"/>
        <item x="4"/>
        <item x="2"/>
        <item x="1"/>
        <item x="3"/>
      </items>
    </pivotField>
    <pivotField compact="0" outline="0" showAll="0" defaultSubtotal="0">
      <items count="3">
        <item x="0"/>
        <item x="1"/>
        <item x="2"/>
      </items>
    </pivotField>
    <pivotField compact="0" numFmtId="14" outline="0" showAll="0" defaultSubtotal="0"/>
    <pivotField compact="0" outline="0" showAll="0" defaultSubtotal="0"/>
    <pivotField compact="0" outline="0" showAll="0" defaultSubtotal="0"/>
    <pivotField compact="0" outline="0" showAll="0" defaultSubtotal="0"/>
    <pivotField compact="0" numFmtId="2" outline="0" showAll="0" defaultSubtotal="0"/>
    <pivotField compact="0" outline="0" showAll="0" defaultSubtotal="0"/>
    <pivotField compact="0" numFmtId="164" outline="0" showAll="0" defaultSubtotal="0"/>
    <pivotField compact="0" outline="0" showAll="0" defaultSubtotal="0"/>
    <pivotField compact="0" numFmtId="22" outline="0" showAll="0" defaultSubtotal="0"/>
  </pivotFields>
  <rowFields count="1">
    <field x="10"/>
  </rowFields>
  <rowItems count="5">
    <i>
      <x/>
    </i>
    <i>
      <x v="1"/>
    </i>
    <i>
      <x v="2"/>
    </i>
    <i>
      <x v="3"/>
    </i>
    <i>
      <x v="4"/>
    </i>
  </rowItems>
  <colItems count="1">
    <i/>
  </colItems>
  <dataFields count="1">
    <dataField name="Count of Customer_ID" fld="2"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26142-9C51-4519-A69F-995F05561B1E}" name="PivotTable5"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6" rowHeaderCaption="Category">
  <location ref="A15:B18"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6"/>
  </rowFields>
  <rowItems count="3">
    <i>
      <x/>
    </i>
    <i>
      <x v="1"/>
    </i>
    <i>
      <x v="2"/>
    </i>
  </rowItems>
  <colItems count="1">
    <i/>
  </colItems>
  <dataFields count="1">
    <dataField name="Revenue" fld="13" baseField="0" baseItem="0" numFmtId="166"/>
  </dataFields>
  <formats count="2">
    <format dxfId="5">
      <pivotArea dataOnly="0" labelOnly="1" outline="0" axis="axisValues" fieldPosition="0"/>
    </format>
    <format dxfId="4">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FC5AC7-F7F2-41C9-AC9E-1C587820BA19}" name="PivotTable8"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3" rowHeaderCaption="Customer Segment">
  <location ref="I4:J7"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11"/>
  </rowFields>
  <rowItems count="3">
    <i>
      <x/>
    </i>
    <i>
      <x v="1"/>
    </i>
    <i>
      <x v="2"/>
    </i>
  </rowItems>
  <colItems count="1">
    <i/>
  </colItems>
  <dataFields count="1">
    <dataField name="Total_Sales" fld="13" baseField="11" baseItem="1" numFmtId="168"/>
  </dataFields>
  <formats count="2">
    <format dxfId="7">
      <pivotArea dataOnly="0" outline="0" axis="axisValues" fieldPosition="0"/>
    </format>
    <format dxfId="6">
      <pivotArea outline="0" fieldPosition="0">
        <references count="1">
          <reference field="4294967294" count="1">
            <x v="0"/>
          </reference>
        </references>
      </pivotArea>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7EC5FB-92A1-4EB7-9C4B-2138E7064E87}" name="PivotTable4"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7" rowHeaderCaption="Region">
  <location ref="A4:B9"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axis="axisRow"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10"/>
  </rowFields>
  <rowItems count="5">
    <i>
      <x/>
    </i>
    <i>
      <x v="1"/>
    </i>
    <i>
      <x v="2"/>
    </i>
    <i>
      <x v="3"/>
    </i>
    <i>
      <x v="4"/>
    </i>
  </rowItems>
  <colItems count="1">
    <i/>
  </colItems>
  <dataFields count="1">
    <dataField name="Total Sales" fld="13" baseField="0" baseItem="0" numFmtId="167"/>
  </dataFields>
  <formats count="2">
    <format dxfId="9">
      <pivotArea dataOnly="0" labelOnly="1" outline="0" axis="axisValues" fieldPosition="0"/>
    </format>
    <format dxfId="8">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DAF36E-F37E-487D-AB17-BA3A50557C58}" name="PivotTable12"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rowHeaderCaption="Product Name">
  <location ref="I34:J44" firstHeaderRow="1" firstDataRow="1" firstDataCol="1"/>
  <pivotFields count="21">
    <pivotField dataField="1" compact="0" outline="0" showAll="0" defaultSubtotal="0">
      <items count="250">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s>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0">
        <item x="1"/>
        <item x="2"/>
        <item x="7"/>
        <item x="6"/>
        <item x="3"/>
        <item x="8"/>
        <item x="4"/>
        <item x="0"/>
        <item x="9"/>
        <item x="5"/>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5"/>
  </rowFields>
  <rowItems count="10">
    <i>
      <x/>
    </i>
    <i>
      <x v="1"/>
    </i>
    <i>
      <x v="2"/>
    </i>
    <i>
      <x v="3"/>
    </i>
    <i>
      <x v="4"/>
    </i>
    <i>
      <x v="5"/>
    </i>
    <i>
      <x v="6"/>
    </i>
    <i>
      <x v="7"/>
    </i>
    <i>
      <x v="8"/>
    </i>
    <i>
      <x v="9"/>
    </i>
  </rowItems>
  <colItems count="1">
    <i/>
  </colItems>
  <dataFields count="1">
    <dataField name="Count of Transaction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3D5772-0A47-4D79-A1B8-24F093F7369B}" name="PivotTable9"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5" rowHeaderCaption="Months">
  <location ref="I15:J28"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0"/>
        <item x="12"/>
        <item x="4"/>
        <item x="8"/>
        <item x="10"/>
        <item x="9"/>
        <item x="3"/>
        <item x="2"/>
        <item x="11"/>
        <item x="1"/>
        <item x="7"/>
        <item x="6"/>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14"/>
  </rowFields>
  <rowItems count="13">
    <i>
      <x/>
    </i>
    <i>
      <x v="1"/>
    </i>
    <i>
      <x v="2"/>
    </i>
    <i>
      <x v="3"/>
    </i>
    <i>
      <x v="4"/>
    </i>
    <i>
      <x v="5"/>
    </i>
    <i>
      <x v="6"/>
    </i>
    <i>
      <x v="7"/>
    </i>
    <i>
      <x v="8"/>
    </i>
    <i>
      <x v="9"/>
    </i>
    <i>
      <x v="10"/>
    </i>
    <i>
      <x v="11"/>
    </i>
    <i>
      <x v="12"/>
    </i>
  </rowItems>
  <colItems count="1">
    <i/>
  </colItems>
  <dataFields count="1">
    <dataField name="Total Sales" fld="13" baseField="14" baseItem="2" numFmtId="168"/>
  </dataFields>
  <formats count="2">
    <format dxfId="11">
      <pivotArea dataOnly="0" labelOnly="1" outline="0" axis="axisValues" fieldPosition="0"/>
    </format>
    <format dxfId="10">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2C2069-567E-435F-9794-F906BA704A88}" name="PivotTable7" cacheId="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6" rowHeaderCaption="Payment">
  <location ref="E18:F22"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s>
  <rowFields count="1">
    <field x="9"/>
  </rowFields>
  <rowItems count="4">
    <i>
      <x/>
    </i>
    <i>
      <x v="1"/>
    </i>
    <i>
      <x v="2"/>
    </i>
    <i>
      <x v="3"/>
    </i>
  </rowItems>
  <colItems count="1">
    <i/>
  </colItems>
  <dataFields count="1">
    <dataField name="Total Sales" fld="13" baseField="9" baseItem="1" numFmtId="169"/>
  </dataFields>
  <formats count="4">
    <format dxfId="15">
      <pivotArea dataOnly="0" labelOnly="1" outline="0" axis="axisValues" fieldPosition="0"/>
    </format>
    <format dxfId="14">
      <pivotArea field="9" type="button" dataOnly="0" labelOnly="1" outline="0" axis="axisRow" fieldPosition="0"/>
    </format>
    <format dxfId="13">
      <pivotArea outline="0" collapsedLevelsAreSubtotals="1" fieldPosition="0"/>
    </format>
    <format dxfId="12">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83C0A6-6EB1-4E87-A7BC-95EF393E9339}" sourceName="Category">
  <pivotTables>
    <pivotTable tabId="4" name="PivotTable4"/>
    <pivotTable tabId="4" name="PivotTable10"/>
    <pivotTable tabId="4" name="PivotTable11"/>
    <pivotTable tabId="4" name="PivotTable12"/>
    <pivotTable tabId="4" name="PivotTable5"/>
    <pivotTable tabId="4" name="PivotTable6"/>
    <pivotTable tabId="4" name="PivotTable7"/>
    <pivotTable tabId="4" name="PivotTable8"/>
    <pivotTable tabId="4" name="PivotTable9"/>
  </pivotTables>
  <data>
    <tabular pivotCacheId="17238822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4260108-D2B1-4AAC-B1B0-C9FF3A0D82EE}" sourceName="Payment_Method">
  <pivotTables>
    <pivotTable tabId="4" name="PivotTable4"/>
    <pivotTable tabId="4" name="PivotTable10"/>
    <pivotTable tabId="4" name="PivotTable11"/>
    <pivotTable tabId="4" name="PivotTable12"/>
    <pivotTable tabId="4" name="PivotTable5"/>
    <pivotTable tabId="4" name="PivotTable6"/>
    <pivotTable tabId="4" name="PivotTable7"/>
    <pivotTable tabId="4" name="PivotTable8"/>
    <pivotTable tabId="4" name="PivotTable9"/>
  </pivotTables>
  <data>
    <tabular pivotCacheId="172388221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F74723-06BE-4129-9B77-D8DFC841FDBB}" sourceName="Region">
  <pivotTables>
    <pivotTable tabId="4" name="PivotTable4"/>
    <pivotTable tabId="4" name="PivotTable10"/>
    <pivotTable tabId="4" name="PivotTable11"/>
    <pivotTable tabId="4" name="PivotTable12"/>
    <pivotTable tabId="4" name="PivotTable5"/>
    <pivotTable tabId="4" name="PivotTable6"/>
    <pivotTable tabId="4" name="PivotTable7"/>
    <pivotTable tabId="4" name="PivotTable8"/>
    <pivotTable tabId="4" name="PivotTable9"/>
  </pivotTables>
  <data>
    <tabular pivotCacheId="172388221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47CF2E-B81E-430A-9C00-19205C38B290}" sourceName="Customer_Segment">
  <pivotTables>
    <pivotTable tabId="4" name="PivotTable4"/>
    <pivotTable tabId="4" name="PivotTable10"/>
    <pivotTable tabId="4" name="PivotTable11"/>
    <pivotTable tabId="4" name="PivotTable12"/>
    <pivotTable tabId="4" name="PivotTable5"/>
    <pivotTable tabId="4" name="PivotTable6"/>
    <pivotTable tabId="4" name="PivotTable7"/>
    <pivotTable tabId="4" name="PivotTable8"/>
    <pivotTable tabId="4" name="PivotTable9"/>
  </pivotTables>
  <data>
    <tabular pivotCacheId="172388221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345D45-D6B0-4EBF-9F13-7A9181A42DBD}" cache="Slicer_Category" caption="Category" rowHeight="241300"/>
  <slicer name="Payment_Method" xr10:uid="{39B6501B-733C-4212-AD5C-FDA086D9908E}" cache="Slicer_Payment_Method" caption="Payment_Method" rowHeight="241300"/>
  <slicer name="Region" xr10:uid="{C4EB1AFB-15F2-4C34-B7ED-E8B641C554B4}" cache="Slicer_Region" caption="Region" rowHeight="241300"/>
  <slicer name="Customer_Segment" xr10:uid="{D2EDF557-7077-4F87-9D08-AF4A1549E07C}" cache="Slicer_Customer_Segment" caption="Customer_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03B7C4-837A-4290-9143-DB8F12EEF7AA}" name="Sales_Data" displayName="Sales_Data" ref="A1:U251" totalsRowShown="0" headerRowDxfId="41" dataDxfId="39" headerRowBorderDxfId="40" tableBorderDxfId="38" totalsRowBorderDxfId="37">
  <autoFilter ref="A1:U251" xr:uid="{9903B7C4-837A-4290-9143-DB8F12EEF7AA}"/>
  <tableColumns count="21">
    <tableColumn id="1" xr3:uid="{69A25391-2372-404D-BEF5-600A6FECD546}" name="Transaction_ID" dataDxfId="36"/>
    <tableColumn id="2" xr3:uid="{08E63914-3196-4B0D-BB5E-714F60472C7D}" name="Date" dataDxfId="35"/>
    <tableColumn id="3" xr3:uid="{01990201-0FF0-4FB0-97DC-59FABC993123}" name="Customer_ID" dataDxfId="34"/>
    <tableColumn id="4" xr3:uid="{5D61A600-CCE2-4408-B5D2-7E81A9A1C873}" name="Customer_Name" dataDxfId="33"/>
    <tableColumn id="5" xr3:uid="{5BFF1D0B-945B-4356-A9A1-003BC2CD8F79}" name="Product_ID" dataDxfId="32"/>
    <tableColumn id="6" xr3:uid="{ABB0959E-AB7B-465F-BFE8-B8D06F4EF234}" name="Product_Name" dataDxfId="31"/>
    <tableColumn id="7" xr3:uid="{C19C655C-E1EF-4B9A-83CE-077BA3AF8463}" name="Category" dataDxfId="30"/>
    <tableColumn id="8" xr3:uid="{1EA24BDB-B852-4168-91B9-3D6ABD5EBD3C}" name="Quantity" dataDxfId="29"/>
    <tableColumn id="9" xr3:uid="{BB234FE6-5582-4EC1-A30E-6B68A5BF5999}" name="Unit_Price" dataDxfId="28"/>
    <tableColumn id="10" xr3:uid="{C3C4A9BF-378C-4FC6-A773-F3931A370348}" name="Payment_Method" dataDxfId="27"/>
    <tableColumn id="11" xr3:uid="{76FC5F8F-6436-448F-A791-6B532880BE41}" name="Region" dataDxfId="26"/>
    <tableColumn id="12" xr3:uid="{05DA6957-22AC-42BB-94A6-E8E4644E9F9A}" name="Customer_Segment" dataDxfId="25"/>
    <tableColumn id="13" xr3:uid="{1E5AEF95-A8C7-4520-8899-D450FAA67A93}" name="Customer_Since" dataDxfId="24"/>
    <tableColumn id="14" xr3:uid="{31706106-9D1E-4202-99EC-FB7717B03C09}" name="Total_Amount" dataDxfId="23"/>
    <tableColumn id="15" xr3:uid="{57BCA0E5-CC6C-4A24-8B51-359AE30EA71C}" name="Month" dataDxfId="22">
      <calculatedColumnFormula>TEXT(Sales_Data[[#This Row],[Date]],"mmm-yyyy")</calculatedColumnFormula>
    </tableColumn>
    <tableColumn id="16" xr3:uid="{4EED98FB-882E-4E12-82AB-726F5875E8CD}" name="Year" dataDxfId="21">
      <calculatedColumnFormula>YEAR(Sales_Data[[#This Row],[Date]])</calculatedColumnFormula>
    </tableColumn>
    <tableColumn id="17" xr3:uid="{9F61B1EC-54F1-4D98-86B3-E163BAF3873E}" name="Customer Age Days" dataDxfId="20">
      <calculatedColumnFormula>TODAY()-M2</calculatedColumnFormula>
    </tableColumn>
    <tableColumn id="18" xr3:uid="{337F8985-192C-4896-9A14-CBC9D64F9E8F}" name="Customer Tenure" dataDxfId="19">
      <calculatedColumnFormula>DATEDIF(M2,TODAY(),"Y")</calculatedColumnFormula>
    </tableColumn>
    <tableColumn id="19" xr3:uid="{EA7F6C64-8320-4DF3-B523-1BBD49B495AB}" name="Transaction Month End" dataDxfId="18">
      <calculatedColumnFormula>EOMONTH(B2,0)</calculatedColumnFormula>
    </tableColumn>
    <tableColumn id="20" xr3:uid="{E30A6F78-FEBD-47D4-8D32-6298F4EE9D69}" name="High Value Customer" dataDxfId="17">
      <calculatedColumnFormula>IF(N2&gt;=1000,"High Value","Normal")</calculatedColumnFormula>
    </tableColumn>
    <tableColumn id="21" xr3:uid="{383AB06D-DEF4-4711-B1B4-F70DC9B7610D}" name="Timestamp" dataDxfId="16">
      <calculatedColumnFormula>NOW()</calculatedColumnFormula>
    </tableColumn>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EA13893-EE27-4543-916B-5B138E82A2C8}" sourceName="Date">
  <pivotTables>
    <pivotTable tabId="4" name="PivotTable4"/>
    <pivotTable tabId="4" name="PivotTable10"/>
    <pivotTable tabId="4" name="PivotTable11"/>
    <pivotTable tabId="4" name="PivotTable12"/>
    <pivotTable tabId="4" name="PivotTable5"/>
    <pivotTable tabId="4" name="PivotTable6"/>
    <pivotTable tabId="4" name="PivotTable7"/>
    <pivotTable tabId="4" name="PivotTable8"/>
    <pivotTable tabId="4" name="PivotTable9"/>
  </pivotTables>
  <state minimalRefreshVersion="6" lastRefreshVersion="6" pivotCacheId="172388221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1F37EDF-CBFA-4A23-A071-A4B8B210F904}" cache="NativeTimeline_Date" caption="Date" level="2" selectionLevel="2" scrollPosition="2025-03-30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A8D4-58A1-4A5C-836B-02D5B2FB794D}">
  <dimension ref="A1:A171"/>
  <sheetViews>
    <sheetView showGridLines="0" workbookViewId="0">
      <selection activeCell="H169" sqref="H169"/>
    </sheetView>
  </sheetViews>
  <sheetFormatPr defaultRowHeight="15" x14ac:dyDescent="0.25"/>
  <sheetData>
    <row r="1" spans="1:1" ht="23.25" x14ac:dyDescent="0.25">
      <c r="A1" s="58" t="s">
        <v>488</v>
      </c>
    </row>
    <row r="3" spans="1:1" x14ac:dyDescent="0.25">
      <c r="A3" s="52" t="s">
        <v>489</v>
      </c>
    </row>
    <row r="7" spans="1:1" ht="23.25" x14ac:dyDescent="0.25">
      <c r="A7" s="58" t="s">
        <v>490</v>
      </c>
    </row>
    <row r="9" spans="1:1" x14ac:dyDescent="0.25">
      <c r="A9" t="s">
        <v>491</v>
      </c>
    </row>
    <row r="13" spans="1:1" ht="23.25" x14ac:dyDescent="0.25">
      <c r="A13" s="58" t="s">
        <v>492</v>
      </c>
    </row>
    <row r="14" spans="1:1" x14ac:dyDescent="0.25">
      <c r="A14" s="57"/>
    </row>
    <row r="15" spans="1:1" x14ac:dyDescent="0.25">
      <c r="A15" s="57" t="s">
        <v>493</v>
      </c>
    </row>
    <row r="16" spans="1:1" x14ac:dyDescent="0.25">
      <c r="A16" s="57" t="s">
        <v>494</v>
      </c>
    </row>
    <row r="17" spans="1:1" x14ac:dyDescent="0.25">
      <c r="A17" s="57" t="s">
        <v>495</v>
      </c>
    </row>
    <row r="18" spans="1:1" x14ac:dyDescent="0.25">
      <c r="A18" s="57" t="s">
        <v>496</v>
      </c>
    </row>
    <row r="19" spans="1:1" x14ac:dyDescent="0.25">
      <c r="A19" s="57" t="s">
        <v>497</v>
      </c>
    </row>
    <row r="20" spans="1:1" x14ac:dyDescent="0.25">
      <c r="A20" s="57" t="s">
        <v>498</v>
      </c>
    </row>
    <row r="24" spans="1:1" ht="23.25" x14ac:dyDescent="0.25">
      <c r="A24" s="58" t="s">
        <v>499</v>
      </c>
    </row>
    <row r="26" spans="1:1" ht="18" x14ac:dyDescent="0.25">
      <c r="A26" s="59" t="s">
        <v>500</v>
      </c>
    </row>
    <row r="27" spans="1:1" x14ac:dyDescent="0.25">
      <c r="A27" s="57"/>
    </row>
    <row r="28" spans="1:1" x14ac:dyDescent="0.25">
      <c r="A28" s="57" t="s">
        <v>501</v>
      </c>
    </row>
    <row r="29" spans="1:1" x14ac:dyDescent="0.25">
      <c r="A29" s="57" t="s">
        <v>502</v>
      </c>
    </row>
    <row r="30" spans="1:1" x14ac:dyDescent="0.25">
      <c r="A30" s="57" t="s">
        <v>503</v>
      </c>
    </row>
    <row r="32" spans="1:1" ht="18" x14ac:dyDescent="0.25">
      <c r="A32" s="59" t="s">
        <v>504</v>
      </c>
    </row>
    <row r="34" spans="1:1" x14ac:dyDescent="0.25">
      <c r="A34" t="s">
        <v>505</v>
      </c>
    </row>
    <row r="35" spans="1:1" x14ac:dyDescent="0.25">
      <c r="A35" s="57"/>
    </row>
    <row r="36" spans="1:1" x14ac:dyDescent="0.25">
      <c r="A36" s="57" t="s">
        <v>399</v>
      </c>
    </row>
    <row r="37" spans="1:1" x14ac:dyDescent="0.25">
      <c r="A37" s="57" t="s">
        <v>400</v>
      </c>
    </row>
    <row r="38" spans="1:1" x14ac:dyDescent="0.25">
      <c r="A38" s="57" t="s">
        <v>506</v>
      </c>
    </row>
    <row r="39" spans="1:1" x14ac:dyDescent="0.25">
      <c r="A39" s="57" t="s">
        <v>402</v>
      </c>
    </row>
    <row r="40" spans="1:1" x14ac:dyDescent="0.25">
      <c r="A40" s="57" t="s">
        <v>403</v>
      </c>
    </row>
    <row r="41" spans="1:1" x14ac:dyDescent="0.25">
      <c r="A41" s="57" t="s">
        <v>404</v>
      </c>
    </row>
    <row r="42" spans="1:1" x14ac:dyDescent="0.25">
      <c r="A42" s="57" t="s">
        <v>405</v>
      </c>
    </row>
    <row r="44" spans="1:1" ht="18" x14ac:dyDescent="0.25">
      <c r="A44" s="59" t="s">
        <v>507</v>
      </c>
    </row>
    <row r="46" spans="1:1" x14ac:dyDescent="0.25">
      <c r="A46" t="s">
        <v>508</v>
      </c>
    </row>
    <row r="47" spans="1:1" x14ac:dyDescent="0.25">
      <c r="A47" s="57"/>
    </row>
    <row r="48" spans="1:1" x14ac:dyDescent="0.25">
      <c r="A48" s="57" t="s">
        <v>409</v>
      </c>
    </row>
    <row r="49" spans="1:1" x14ac:dyDescent="0.25">
      <c r="A49" s="57" t="s">
        <v>410</v>
      </c>
    </row>
    <row r="50" spans="1:1" x14ac:dyDescent="0.25">
      <c r="A50" s="57" t="s">
        <v>411</v>
      </c>
    </row>
    <row r="51" spans="1:1" x14ac:dyDescent="0.25">
      <c r="A51" s="57" t="s">
        <v>412</v>
      </c>
    </row>
    <row r="52" spans="1:1" x14ac:dyDescent="0.25">
      <c r="A52" s="57" t="s">
        <v>413</v>
      </c>
    </row>
    <row r="53" spans="1:1" x14ac:dyDescent="0.25">
      <c r="A53" s="57" t="s">
        <v>414</v>
      </c>
    </row>
    <row r="54" spans="1:1" x14ac:dyDescent="0.25">
      <c r="A54" s="57" t="s">
        <v>509</v>
      </c>
    </row>
    <row r="55" spans="1:1" x14ac:dyDescent="0.25">
      <c r="A55" s="57" t="s">
        <v>510</v>
      </c>
    </row>
    <row r="56" spans="1:1" x14ac:dyDescent="0.25">
      <c r="A56" s="57" t="s">
        <v>425</v>
      </c>
    </row>
    <row r="57" spans="1:1" x14ac:dyDescent="0.25">
      <c r="A57" s="57" t="s">
        <v>426</v>
      </c>
    </row>
    <row r="58" spans="1:1" x14ac:dyDescent="0.25">
      <c r="A58" s="57" t="s">
        <v>427</v>
      </c>
    </row>
    <row r="60" spans="1:1" ht="18" x14ac:dyDescent="0.25">
      <c r="A60" s="59" t="s">
        <v>511</v>
      </c>
    </row>
    <row r="62" spans="1:1" x14ac:dyDescent="0.25">
      <c r="A62" t="s">
        <v>512</v>
      </c>
    </row>
    <row r="64" spans="1:1" ht="18" x14ac:dyDescent="0.25">
      <c r="A64" s="59" t="s">
        <v>513</v>
      </c>
    </row>
    <row r="66" spans="1:1" x14ac:dyDescent="0.25">
      <c r="A66" t="s">
        <v>514</v>
      </c>
    </row>
    <row r="68" spans="1:1" ht="18" x14ac:dyDescent="0.25">
      <c r="A68" s="59" t="s">
        <v>515</v>
      </c>
    </row>
    <row r="70" spans="1:1" x14ac:dyDescent="0.25">
      <c r="A70" t="s">
        <v>516</v>
      </c>
    </row>
    <row r="71" spans="1:1" x14ac:dyDescent="0.25">
      <c r="A71" s="57"/>
    </row>
    <row r="72" spans="1:1" x14ac:dyDescent="0.25">
      <c r="A72" s="57" t="s">
        <v>424</v>
      </c>
    </row>
    <row r="73" spans="1:1" x14ac:dyDescent="0.25">
      <c r="A73" s="57" t="s">
        <v>517</v>
      </c>
    </row>
    <row r="74" spans="1:1" x14ac:dyDescent="0.25">
      <c r="A74" s="57" t="s">
        <v>518</v>
      </c>
    </row>
    <row r="75" spans="1:1" x14ac:dyDescent="0.25">
      <c r="A75" s="57" t="s">
        <v>425</v>
      </c>
    </row>
    <row r="76" spans="1:1" x14ac:dyDescent="0.25">
      <c r="A76" s="57" t="s">
        <v>426</v>
      </c>
    </row>
    <row r="77" spans="1:1" x14ac:dyDescent="0.25">
      <c r="A77" s="57" t="s">
        <v>519</v>
      </c>
    </row>
    <row r="78" spans="1:1" x14ac:dyDescent="0.25">
      <c r="A78" s="57" t="s">
        <v>416</v>
      </c>
    </row>
    <row r="79" spans="1:1" x14ac:dyDescent="0.25">
      <c r="A79" s="57" t="s">
        <v>520</v>
      </c>
    </row>
    <row r="81" spans="1:1" ht="18" x14ac:dyDescent="0.25">
      <c r="A81" s="59" t="s">
        <v>521</v>
      </c>
    </row>
    <row r="83" spans="1:1" x14ac:dyDescent="0.25">
      <c r="A83" t="s">
        <v>522</v>
      </c>
    </row>
    <row r="84" spans="1:1" x14ac:dyDescent="0.25">
      <c r="A84" s="57"/>
    </row>
    <row r="85" spans="1:1" x14ac:dyDescent="0.25">
      <c r="A85" s="57"/>
    </row>
    <row r="86" spans="1:1" x14ac:dyDescent="0.25">
      <c r="A86" s="57" t="s">
        <v>495</v>
      </c>
    </row>
    <row r="87" spans="1:1" x14ac:dyDescent="0.25">
      <c r="A87" s="57" t="s">
        <v>523</v>
      </c>
    </row>
    <row r="88" spans="1:1" x14ac:dyDescent="0.25">
      <c r="A88" s="57" t="s">
        <v>524</v>
      </c>
    </row>
    <row r="89" spans="1:1" x14ac:dyDescent="0.25">
      <c r="A89" s="57" t="s">
        <v>525</v>
      </c>
    </row>
    <row r="93" spans="1:1" ht="31.5" x14ac:dyDescent="0.25">
      <c r="A93" s="56" t="s">
        <v>526</v>
      </c>
    </row>
    <row r="95" spans="1:1" ht="18" x14ac:dyDescent="0.25">
      <c r="A95" s="59" t="s">
        <v>527</v>
      </c>
    </row>
    <row r="96" spans="1:1" x14ac:dyDescent="0.25">
      <c r="A96" s="57"/>
    </row>
    <row r="97" spans="1:1" x14ac:dyDescent="0.25">
      <c r="A97" s="57" t="s">
        <v>528</v>
      </c>
    </row>
    <row r="98" spans="1:1" x14ac:dyDescent="0.25">
      <c r="A98" s="57" t="s">
        <v>529</v>
      </c>
    </row>
    <row r="99" spans="1:1" x14ac:dyDescent="0.25">
      <c r="A99" s="57" t="s">
        <v>530</v>
      </c>
    </row>
    <row r="100" spans="1:1" x14ac:dyDescent="0.25">
      <c r="A100" s="57" t="s">
        <v>531</v>
      </c>
    </row>
    <row r="101" spans="1:1" x14ac:dyDescent="0.25">
      <c r="A101" s="57" t="s">
        <v>532</v>
      </c>
    </row>
    <row r="102" spans="1:1" x14ac:dyDescent="0.25">
      <c r="A102" s="57" t="s">
        <v>533</v>
      </c>
    </row>
    <row r="104" spans="1:1" ht="18" x14ac:dyDescent="0.25">
      <c r="A104" s="59" t="s">
        <v>534</v>
      </c>
    </row>
    <row r="105" spans="1:1" x14ac:dyDescent="0.25">
      <c r="A105" s="57"/>
    </row>
    <row r="106" spans="1:1" x14ac:dyDescent="0.25">
      <c r="A106" s="57" t="s">
        <v>535</v>
      </c>
    </row>
    <row r="108" spans="1:1" ht="18" x14ac:dyDescent="0.25">
      <c r="A108" s="59" t="s">
        <v>536</v>
      </c>
    </row>
    <row r="109" spans="1:1" x14ac:dyDescent="0.25">
      <c r="A109" s="57"/>
    </row>
    <row r="110" spans="1:1" x14ac:dyDescent="0.25">
      <c r="A110" s="57" t="s">
        <v>537</v>
      </c>
    </row>
    <row r="111" spans="1:1" x14ac:dyDescent="0.25">
      <c r="A111" s="57" t="s">
        <v>538</v>
      </c>
    </row>
    <row r="112" spans="1:1" x14ac:dyDescent="0.25">
      <c r="A112" s="57" t="s">
        <v>539</v>
      </c>
    </row>
    <row r="113" spans="1:1" x14ac:dyDescent="0.25">
      <c r="A113" s="57" t="s">
        <v>540</v>
      </c>
    </row>
    <row r="114" spans="1:1" x14ac:dyDescent="0.25">
      <c r="A114" s="57" t="s">
        <v>541</v>
      </c>
    </row>
    <row r="115" spans="1:1" x14ac:dyDescent="0.25">
      <c r="A115" s="57" t="s">
        <v>542</v>
      </c>
    </row>
    <row r="117" spans="1:1" ht="18" x14ac:dyDescent="0.25">
      <c r="A117" s="59" t="s">
        <v>543</v>
      </c>
    </row>
    <row r="118" spans="1:1" x14ac:dyDescent="0.25">
      <c r="A118" s="57"/>
    </row>
    <row r="119" spans="1:1" x14ac:dyDescent="0.25">
      <c r="A119" s="57" t="s">
        <v>544</v>
      </c>
    </row>
    <row r="120" spans="1:1" x14ac:dyDescent="0.25">
      <c r="A120" s="57" t="s">
        <v>545</v>
      </c>
    </row>
    <row r="121" spans="1:1" x14ac:dyDescent="0.25">
      <c r="A121" s="57" t="s">
        <v>546</v>
      </c>
    </row>
    <row r="123" spans="1:1" ht="18" x14ac:dyDescent="0.25">
      <c r="A123" s="59" t="s">
        <v>547</v>
      </c>
    </row>
    <row r="124" spans="1:1" x14ac:dyDescent="0.25">
      <c r="A124" s="57"/>
    </row>
    <row r="125" spans="1:1" x14ac:dyDescent="0.25">
      <c r="A125" s="57" t="s">
        <v>548</v>
      </c>
    </row>
    <row r="126" spans="1:1" x14ac:dyDescent="0.25">
      <c r="A126" s="57" t="s">
        <v>549</v>
      </c>
    </row>
    <row r="127" spans="1:1" x14ac:dyDescent="0.25">
      <c r="A127" s="57" t="s">
        <v>550</v>
      </c>
    </row>
    <row r="128" spans="1:1" x14ac:dyDescent="0.25">
      <c r="A128" s="57" t="s">
        <v>551</v>
      </c>
    </row>
    <row r="132" spans="1:1" ht="31.5" x14ac:dyDescent="0.25">
      <c r="A132" s="56" t="s">
        <v>552</v>
      </c>
    </row>
    <row r="133" spans="1:1" x14ac:dyDescent="0.25">
      <c r="A133" s="57"/>
    </row>
    <row r="134" spans="1:1" x14ac:dyDescent="0.25">
      <c r="A134" s="57" t="s">
        <v>553</v>
      </c>
    </row>
    <row r="135" spans="1:1" x14ac:dyDescent="0.25">
      <c r="A135" s="57" t="s">
        <v>554</v>
      </c>
    </row>
    <row r="136" spans="1:1" x14ac:dyDescent="0.25">
      <c r="A136" s="57" t="s">
        <v>498</v>
      </c>
    </row>
    <row r="137" spans="1:1" x14ac:dyDescent="0.25">
      <c r="A137" s="57" t="s">
        <v>555</v>
      </c>
    </row>
    <row r="138" spans="1:1" x14ac:dyDescent="0.25">
      <c r="A138" s="57" t="s">
        <v>495</v>
      </c>
    </row>
    <row r="139" spans="1:1" x14ac:dyDescent="0.25">
      <c r="A139" s="57" t="s">
        <v>523</v>
      </c>
    </row>
    <row r="140" spans="1:1" x14ac:dyDescent="0.25">
      <c r="A140" s="57" t="s">
        <v>524</v>
      </c>
    </row>
    <row r="141" spans="1:1" x14ac:dyDescent="0.25">
      <c r="A141" s="57" t="s">
        <v>497</v>
      </c>
    </row>
    <row r="142" spans="1:1" x14ac:dyDescent="0.25">
      <c r="A142" s="57" t="s">
        <v>556</v>
      </c>
    </row>
    <row r="143" spans="1:1" x14ac:dyDescent="0.25">
      <c r="A143" s="57" t="s">
        <v>557</v>
      </c>
    </row>
    <row r="147" spans="1:1" ht="31.5" x14ac:dyDescent="0.25">
      <c r="A147" s="56" t="s">
        <v>558</v>
      </c>
    </row>
    <row r="149" spans="1:1" x14ac:dyDescent="0.25">
      <c r="A149" t="s">
        <v>559</v>
      </c>
    </row>
    <row r="150" spans="1:1" x14ac:dyDescent="0.25">
      <c r="A150" s="57"/>
    </row>
    <row r="151" spans="1:1" x14ac:dyDescent="0.25">
      <c r="A151" s="57" t="s">
        <v>560</v>
      </c>
    </row>
    <row r="152" spans="1:1" x14ac:dyDescent="0.25">
      <c r="A152" s="57" t="s">
        <v>561</v>
      </c>
    </row>
    <row r="153" spans="1:1" x14ac:dyDescent="0.25">
      <c r="A153" s="57" t="s">
        <v>562</v>
      </c>
    </row>
    <row r="154" spans="1:1" x14ac:dyDescent="0.25">
      <c r="A154" s="57" t="s">
        <v>563</v>
      </c>
    </row>
    <row r="155" spans="1:1" x14ac:dyDescent="0.25">
      <c r="A155" s="57" t="s">
        <v>564</v>
      </c>
    </row>
    <row r="156" spans="1:1" x14ac:dyDescent="0.25">
      <c r="A156" s="57" t="s">
        <v>565</v>
      </c>
    </row>
    <row r="157" spans="1:1" x14ac:dyDescent="0.25">
      <c r="A157" s="57" t="s">
        <v>566</v>
      </c>
    </row>
    <row r="161" spans="1:1" ht="31.5" x14ac:dyDescent="0.25">
      <c r="A161" s="56" t="s">
        <v>567</v>
      </c>
    </row>
    <row r="163" spans="1:1" x14ac:dyDescent="0.25">
      <c r="A163" t="s">
        <v>568</v>
      </c>
    </row>
    <row r="167" spans="1:1" ht="23.25" x14ac:dyDescent="0.25">
      <c r="A167" s="58"/>
    </row>
    <row r="169" spans="1:1" x14ac:dyDescent="0.25">
      <c r="A169" s="52"/>
    </row>
    <row r="170" spans="1:1" x14ac:dyDescent="0.25">
      <c r="A170" s="52"/>
    </row>
    <row r="171" spans="1:1" x14ac:dyDescent="0.25">
      <c r="A171" s="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0A30-26E9-4A3D-815B-42965AA99CD6}">
  <dimension ref="A1:U251"/>
  <sheetViews>
    <sheetView topLeftCell="E1" zoomScaleNormal="100" workbookViewId="0">
      <selection activeCell="E3" sqref="E3"/>
    </sheetView>
  </sheetViews>
  <sheetFormatPr defaultRowHeight="15" x14ac:dyDescent="0.25"/>
  <cols>
    <col min="1" max="1" width="16.5703125" customWidth="1"/>
    <col min="2" max="2" width="12.28515625" customWidth="1"/>
    <col min="3" max="3" width="15.140625" customWidth="1"/>
    <col min="4" max="4" width="18" customWidth="1"/>
    <col min="5" max="5" width="13.5703125" customWidth="1"/>
    <col min="6" max="6" width="17.28515625" customWidth="1"/>
    <col min="7" max="7" width="12.85546875" style="41" customWidth="1"/>
    <col min="8" max="8" width="10.85546875" customWidth="1"/>
    <col min="9" max="9" width="12.42578125" customWidth="1"/>
    <col min="10" max="10" width="19.140625" customWidth="1"/>
    <col min="11" max="11" width="13.28515625" customWidth="1"/>
    <col min="12" max="12" width="20.5703125" customWidth="1"/>
    <col min="13" max="13" width="17.42578125" customWidth="1"/>
    <col min="14" max="14" width="17.85546875" customWidth="1"/>
    <col min="15" max="15" width="12" customWidth="1"/>
    <col min="16" max="16" width="11.28515625" customWidth="1"/>
    <col min="17" max="17" width="15.28515625" style="14" customWidth="1"/>
    <col min="18" max="18" width="13" customWidth="1"/>
    <col min="19" max="19" width="24.42578125" style="15" customWidth="1"/>
    <col min="20" max="20" width="14.42578125" customWidth="1"/>
    <col min="21" max="21" width="16" customWidth="1"/>
  </cols>
  <sheetData>
    <row r="1" spans="1:21" ht="30.75" thickBot="1" x14ac:dyDescent="0.3">
      <c r="A1" s="5" t="s">
        <v>0</v>
      </c>
      <c r="B1" s="6" t="s">
        <v>1</v>
      </c>
      <c r="C1" s="6" t="s">
        <v>2</v>
      </c>
      <c r="D1" s="6" t="s">
        <v>3</v>
      </c>
      <c r="E1" s="6" t="s">
        <v>4</v>
      </c>
      <c r="F1" s="6" t="s">
        <v>5</v>
      </c>
      <c r="G1" s="38" t="s">
        <v>6</v>
      </c>
      <c r="H1" s="6" t="s">
        <v>7</v>
      </c>
      <c r="I1" s="6" t="s">
        <v>8</v>
      </c>
      <c r="J1" s="6" t="s">
        <v>9</v>
      </c>
      <c r="K1" s="6" t="s">
        <v>10</v>
      </c>
      <c r="L1" s="6" t="s">
        <v>11</v>
      </c>
      <c r="M1" s="6" t="s">
        <v>12</v>
      </c>
      <c r="N1" s="42" t="s">
        <v>13</v>
      </c>
      <c r="O1" s="6" t="s">
        <v>399</v>
      </c>
      <c r="P1" s="6" t="s">
        <v>400</v>
      </c>
      <c r="Q1" s="12" t="s">
        <v>401</v>
      </c>
      <c r="R1" s="6" t="s">
        <v>402</v>
      </c>
      <c r="S1" s="15" t="s">
        <v>403</v>
      </c>
      <c r="T1" s="6" t="s">
        <v>404</v>
      </c>
      <c r="U1" s="6" t="s">
        <v>405</v>
      </c>
    </row>
    <row r="2" spans="1:21" ht="15.75" thickBot="1" x14ac:dyDescent="0.3">
      <c r="A2" s="4" t="s">
        <v>14</v>
      </c>
      <c r="B2" s="2">
        <v>45393</v>
      </c>
      <c r="C2" s="1" t="s">
        <v>15</v>
      </c>
      <c r="D2" s="1" t="s">
        <v>16</v>
      </c>
      <c r="E2" s="1" t="s">
        <v>17</v>
      </c>
      <c r="F2" s="1" t="s">
        <v>18</v>
      </c>
      <c r="G2" s="39" t="s">
        <v>19</v>
      </c>
      <c r="H2" s="3">
        <v>3</v>
      </c>
      <c r="I2" s="3">
        <v>249.99</v>
      </c>
      <c r="J2" s="1" t="s">
        <v>20</v>
      </c>
      <c r="K2" s="1" t="s">
        <v>21</v>
      </c>
      <c r="L2" s="1" t="s">
        <v>22</v>
      </c>
      <c r="M2" s="2">
        <v>44425</v>
      </c>
      <c r="N2" s="43">
        <v>749.97</v>
      </c>
      <c r="O2" s="11" t="str">
        <f>TEXT(Sales_Data[[#This Row],[Date]],"mmm-yyyy")</f>
        <v>Apr-2024</v>
      </c>
      <c r="P2" s="11">
        <f>YEAR(Sales_Data[[#This Row],[Date]])</f>
        <v>2024</v>
      </c>
      <c r="Q2" s="13">
        <f t="shared" ref="Q2:Q65" ca="1" si="0">TODAY()-M2</f>
        <v>1862</v>
      </c>
      <c r="R2" s="11">
        <f t="shared" ref="R2:R65" ca="1" si="1">DATEDIF(M2,TODAY(),"Y")</f>
        <v>5</v>
      </c>
      <c r="S2" s="16">
        <f t="shared" ref="S2:S65" si="2">EOMONTH(B2,0)</f>
        <v>45412</v>
      </c>
      <c r="T2" s="11" t="str">
        <f t="shared" ref="T2:T65" si="3">IF(N2&gt;=1000,"High Value","Normal")</f>
        <v>Normal</v>
      </c>
      <c r="U2" s="19">
        <f t="shared" ref="U2:U65" ca="1" si="4">NOW()</f>
        <v>46287.029763888888</v>
      </c>
    </row>
    <row r="3" spans="1:21" ht="15.75" thickBot="1" x14ac:dyDescent="0.3">
      <c r="A3" s="4" t="s">
        <v>23</v>
      </c>
      <c r="B3" s="2">
        <v>45396</v>
      </c>
      <c r="C3" s="1" t="s">
        <v>24</v>
      </c>
      <c r="D3" s="1" t="s">
        <v>25</v>
      </c>
      <c r="E3" s="1" t="s">
        <v>17</v>
      </c>
      <c r="F3" s="1" t="s">
        <v>18</v>
      </c>
      <c r="G3" s="39" t="s">
        <v>19</v>
      </c>
      <c r="H3" s="3">
        <v>3</v>
      </c>
      <c r="I3" s="3">
        <v>249.99</v>
      </c>
      <c r="J3" s="1" t="s">
        <v>26</v>
      </c>
      <c r="K3" s="1" t="s">
        <v>21</v>
      </c>
      <c r="L3" s="1" t="s">
        <v>27</v>
      </c>
      <c r="M3" s="2">
        <v>44575</v>
      </c>
      <c r="N3" s="43">
        <v>749.97</v>
      </c>
      <c r="O3" s="1" t="str">
        <f>TEXT(Sales_Data[[#This Row],[Date]],"mmm-yyyy")</f>
        <v>Apr-2024</v>
      </c>
      <c r="P3" s="1">
        <f>YEAR(Sales_Data[[#This Row],[Date]])</f>
        <v>2024</v>
      </c>
      <c r="Q3" s="13">
        <f t="shared" ca="1" si="0"/>
        <v>1712</v>
      </c>
      <c r="R3" s="1">
        <f t="shared" ca="1" si="1"/>
        <v>4</v>
      </c>
      <c r="S3" s="17">
        <f t="shared" si="2"/>
        <v>45412</v>
      </c>
      <c r="T3" s="1" t="str">
        <f t="shared" si="3"/>
        <v>Normal</v>
      </c>
      <c r="U3" s="20">
        <f t="shared" ca="1" si="4"/>
        <v>46287.029763888888</v>
      </c>
    </row>
    <row r="4" spans="1:21" ht="15.75" thickBot="1" x14ac:dyDescent="0.3">
      <c r="A4" s="4" t="s">
        <v>28</v>
      </c>
      <c r="B4" s="2">
        <v>45399</v>
      </c>
      <c r="C4" s="1" t="s">
        <v>29</v>
      </c>
      <c r="D4" s="1" t="s">
        <v>30</v>
      </c>
      <c r="E4" s="1" t="s">
        <v>31</v>
      </c>
      <c r="F4" s="1" t="s">
        <v>32</v>
      </c>
      <c r="G4" s="39" t="s">
        <v>33</v>
      </c>
      <c r="H4" s="3">
        <v>3</v>
      </c>
      <c r="I4" s="3">
        <v>59.99</v>
      </c>
      <c r="J4" s="1" t="s">
        <v>34</v>
      </c>
      <c r="K4" s="1" t="s">
        <v>35</v>
      </c>
      <c r="L4" s="1" t="s">
        <v>36</v>
      </c>
      <c r="M4" s="2">
        <v>45262</v>
      </c>
      <c r="N4" s="43">
        <v>179.97</v>
      </c>
      <c r="O4" s="1" t="str">
        <f>TEXT(Sales_Data[[#This Row],[Date]],"mmm-yyyy")</f>
        <v>Apr-2024</v>
      </c>
      <c r="P4" s="1">
        <f>YEAR(Sales_Data[[#This Row],[Date]])</f>
        <v>2024</v>
      </c>
      <c r="Q4" s="13">
        <f t="shared" ca="1" si="0"/>
        <v>1025</v>
      </c>
      <c r="R4" s="1">
        <f t="shared" ca="1" si="1"/>
        <v>2</v>
      </c>
      <c r="S4" s="17">
        <f t="shared" si="2"/>
        <v>45412</v>
      </c>
      <c r="T4" s="1" t="str">
        <f t="shared" si="3"/>
        <v>Normal</v>
      </c>
      <c r="U4" s="20">
        <f t="shared" ca="1" si="4"/>
        <v>46287.029763888888</v>
      </c>
    </row>
    <row r="5" spans="1:21" ht="15.75" thickBot="1" x14ac:dyDescent="0.3">
      <c r="A5" s="4" t="s">
        <v>37</v>
      </c>
      <c r="B5" s="2">
        <v>45400</v>
      </c>
      <c r="C5" s="1" t="s">
        <v>38</v>
      </c>
      <c r="D5" s="1" t="s">
        <v>39</v>
      </c>
      <c r="E5" s="1" t="s">
        <v>31</v>
      </c>
      <c r="F5" s="1" t="s">
        <v>32</v>
      </c>
      <c r="G5" s="39" t="s">
        <v>33</v>
      </c>
      <c r="H5" s="3">
        <v>3</v>
      </c>
      <c r="I5" s="3">
        <v>59.99</v>
      </c>
      <c r="J5" s="1" t="s">
        <v>20</v>
      </c>
      <c r="K5" s="1" t="s">
        <v>40</v>
      </c>
      <c r="L5" s="1" t="s">
        <v>27</v>
      </c>
      <c r="M5" s="2">
        <v>45114</v>
      </c>
      <c r="N5" s="43">
        <v>179.97</v>
      </c>
      <c r="O5" s="1" t="str">
        <f>TEXT(Sales_Data[[#This Row],[Date]],"mmm-yyyy")</f>
        <v>Apr-2024</v>
      </c>
      <c r="P5" s="1">
        <f>YEAR(Sales_Data[[#This Row],[Date]])</f>
        <v>2024</v>
      </c>
      <c r="Q5" s="13">
        <f t="shared" ca="1" si="0"/>
        <v>1173</v>
      </c>
      <c r="R5" s="1">
        <f t="shared" ca="1" si="1"/>
        <v>3</v>
      </c>
      <c r="S5" s="17">
        <f t="shared" si="2"/>
        <v>45412</v>
      </c>
      <c r="T5" s="1" t="str">
        <f t="shared" si="3"/>
        <v>Normal</v>
      </c>
      <c r="U5" s="20">
        <f t="shared" ca="1" si="4"/>
        <v>46287.029763888888</v>
      </c>
    </row>
    <row r="6" spans="1:21" ht="15.75" thickBot="1" x14ac:dyDescent="0.3">
      <c r="A6" s="4" t="s">
        <v>41</v>
      </c>
      <c r="B6" s="2">
        <v>45400</v>
      </c>
      <c r="C6" s="1" t="s">
        <v>42</v>
      </c>
      <c r="D6" s="1" t="s">
        <v>43</v>
      </c>
      <c r="E6" s="1" t="s">
        <v>44</v>
      </c>
      <c r="F6" s="1" t="s">
        <v>45</v>
      </c>
      <c r="G6" s="39" t="s">
        <v>46</v>
      </c>
      <c r="H6" s="3">
        <v>5</v>
      </c>
      <c r="I6" s="3">
        <v>149.99</v>
      </c>
      <c r="J6" s="1" t="s">
        <v>26</v>
      </c>
      <c r="K6" s="1" t="s">
        <v>40</v>
      </c>
      <c r="L6" s="1" t="s">
        <v>27</v>
      </c>
      <c r="M6" s="2">
        <v>45295</v>
      </c>
      <c r="N6" s="43">
        <v>749.95</v>
      </c>
      <c r="O6" s="1" t="str">
        <f>TEXT(Sales_Data[[#This Row],[Date]],"mmm-yyyy")</f>
        <v>Apr-2024</v>
      </c>
      <c r="P6" s="1">
        <f>YEAR(Sales_Data[[#This Row],[Date]])</f>
        <v>2024</v>
      </c>
      <c r="Q6" s="13">
        <f t="shared" ca="1" si="0"/>
        <v>992</v>
      </c>
      <c r="R6" s="1">
        <f t="shared" ca="1" si="1"/>
        <v>2</v>
      </c>
      <c r="S6" s="17">
        <f t="shared" si="2"/>
        <v>45412</v>
      </c>
      <c r="T6" s="1" t="str">
        <f t="shared" si="3"/>
        <v>Normal</v>
      </c>
      <c r="U6" s="20">
        <f t="shared" ca="1" si="4"/>
        <v>46287.029763888888</v>
      </c>
    </row>
    <row r="7" spans="1:21" ht="15.75" thickBot="1" x14ac:dyDescent="0.3">
      <c r="A7" s="4" t="s">
        <v>47</v>
      </c>
      <c r="B7" s="2">
        <v>45403</v>
      </c>
      <c r="C7" s="1" t="s">
        <v>48</v>
      </c>
      <c r="D7" s="1" t="s">
        <v>49</v>
      </c>
      <c r="E7" s="1" t="s">
        <v>31</v>
      </c>
      <c r="F7" s="1" t="s">
        <v>32</v>
      </c>
      <c r="G7" s="39" t="s">
        <v>33</v>
      </c>
      <c r="H7" s="3">
        <v>2</v>
      </c>
      <c r="I7" s="3">
        <v>59.99</v>
      </c>
      <c r="J7" s="1" t="s">
        <v>20</v>
      </c>
      <c r="K7" s="1" t="s">
        <v>50</v>
      </c>
      <c r="L7" s="1" t="s">
        <v>36</v>
      </c>
      <c r="M7" s="2">
        <v>44746</v>
      </c>
      <c r="N7" s="43">
        <v>119.98</v>
      </c>
      <c r="O7" s="1" t="str">
        <f>TEXT(Sales_Data[[#This Row],[Date]],"mmm-yyyy")</f>
        <v>Apr-2024</v>
      </c>
      <c r="P7" s="1">
        <f>YEAR(Sales_Data[[#This Row],[Date]])</f>
        <v>2024</v>
      </c>
      <c r="Q7" s="13">
        <f t="shared" ca="1" si="0"/>
        <v>1541</v>
      </c>
      <c r="R7" s="1">
        <f t="shared" ca="1" si="1"/>
        <v>4</v>
      </c>
      <c r="S7" s="17">
        <f t="shared" si="2"/>
        <v>45412</v>
      </c>
      <c r="T7" s="1" t="str">
        <f t="shared" si="3"/>
        <v>Normal</v>
      </c>
      <c r="U7" s="20">
        <f t="shared" ca="1" si="4"/>
        <v>46287.029763888888</v>
      </c>
    </row>
    <row r="8" spans="1:21" ht="15.75" thickBot="1" x14ac:dyDescent="0.3">
      <c r="A8" s="4" t="s">
        <v>51</v>
      </c>
      <c r="B8" s="2">
        <v>45403</v>
      </c>
      <c r="C8" s="1" t="s">
        <v>48</v>
      </c>
      <c r="D8" s="1" t="s">
        <v>49</v>
      </c>
      <c r="E8" s="1" t="s">
        <v>52</v>
      </c>
      <c r="F8" s="1" t="s">
        <v>53</v>
      </c>
      <c r="G8" s="39" t="s">
        <v>19</v>
      </c>
      <c r="H8" s="3">
        <v>5</v>
      </c>
      <c r="I8" s="3">
        <v>149.99</v>
      </c>
      <c r="J8" s="1" t="s">
        <v>26</v>
      </c>
      <c r="K8" s="1" t="s">
        <v>21</v>
      </c>
      <c r="L8" s="1" t="s">
        <v>36</v>
      </c>
      <c r="M8" s="2">
        <v>44418</v>
      </c>
      <c r="N8" s="43">
        <v>749.95</v>
      </c>
      <c r="O8" s="1" t="str">
        <f>TEXT(Sales_Data[[#This Row],[Date]],"mmm-yyyy")</f>
        <v>Apr-2024</v>
      </c>
      <c r="P8" s="1">
        <f>YEAR(Sales_Data[[#This Row],[Date]])</f>
        <v>2024</v>
      </c>
      <c r="Q8" s="13">
        <f t="shared" ca="1" si="0"/>
        <v>1869</v>
      </c>
      <c r="R8" s="1">
        <f t="shared" ca="1" si="1"/>
        <v>5</v>
      </c>
      <c r="S8" s="17">
        <f t="shared" si="2"/>
        <v>45412</v>
      </c>
      <c r="T8" s="1" t="str">
        <f t="shared" si="3"/>
        <v>Normal</v>
      </c>
      <c r="U8" s="20">
        <f t="shared" ca="1" si="4"/>
        <v>46287.029763888888</v>
      </c>
    </row>
    <row r="9" spans="1:21" ht="15.75" thickBot="1" x14ac:dyDescent="0.3">
      <c r="A9" s="4" t="s">
        <v>54</v>
      </c>
      <c r="B9" s="2">
        <v>45403</v>
      </c>
      <c r="C9" s="1" t="s">
        <v>55</v>
      </c>
      <c r="D9" s="1" t="s">
        <v>56</v>
      </c>
      <c r="E9" s="1" t="s">
        <v>31</v>
      </c>
      <c r="F9" s="1" t="s">
        <v>32</v>
      </c>
      <c r="G9" s="39" t="s">
        <v>33</v>
      </c>
      <c r="H9" s="3">
        <v>3</v>
      </c>
      <c r="I9" s="3">
        <v>59.99</v>
      </c>
      <c r="J9" s="1" t="s">
        <v>57</v>
      </c>
      <c r="K9" s="1" t="s">
        <v>35</v>
      </c>
      <c r="L9" s="1" t="s">
        <v>22</v>
      </c>
      <c r="M9" s="2">
        <v>45007</v>
      </c>
      <c r="N9" s="43">
        <v>179.97</v>
      </c>
      <c r="O9" s="1" t="str">
        <f>TEXT(Sales_Data[[#This Row],[Date]],"mmm-yyyy")</f>
        <v>Apr-2024</v>
      </c>
      <c r="P9" s="1">
        <f>YEAR(Sales_Data[[#This Row],[Date]])</f>
        <v>2024</v>
      </c>
      <c r="Q9" s="13">
        <f t="shared" ca="1" si="0"/>
        <v>1280</v>
      </c>
      <c r="R9" s="1">
        <f t="shared" ca="1" si="1"/>
        <v>3</v>
      </c>
      <c r="S9" s="17">
        <f t="shared" si="2"/>
        <v>45412</v>
      </c>
      <c r="T9" s="1" t="str">
        <f t="shared" si="3"/>
        <v>Normal</v>
      </c>
      <c r="U9" s="20">
        <f t="shared" ca="1" si="4"/>
        <v>46287.029763888888</v>
      </c>
    </row>
    <row r="10" spans="1:21" ht="15.75" thickBot="1" x14ac:dyDescent="0.3">
      <c r="A10" s="4" t="s">
        <v>58</v>
      </c>
      <c r="B10" s="2">
        <v>45405</v>
      </c>
      <c r="C10" s="1" t="s">
        <v>59</v>
      </c>
      <c r="D10" s="1" t="s">
        <v>60</v>
      </c>
      <c r="E10" s="1" t="s">
        <v>61</v>
      </c>
      <c r="F10" s="1" t="s">
        <v>62</v>
      </c>
      <c r="G10" s="39" t="s">
        <v>19</v>
      </c>
      <c r="H10" s="3">
        <v>3</v>
      </c>
      <c r="I10" s="3">
        <v>899.99</v>
      </c>
      <c r="J10" s="1" t="s">
        <v>34</v>
      </c>
      <c r="K10" s="1" t="s">
        <v>63</v>
      </c>
      <c r="L10" s="1" t="s">
        <v>36</v>
      </c>
      <c r="M10" s="2">
        <v>45299</v>
      </c>
      <c r="N10" s="43">
        <v>2699.97</v>
      </c>
      <c r="O10" s="1" t="str">
        <f>TEXT(Sales_Data[[#This Row],[Date]],"mmm-yyyy")</f>
        <v>Apr-2024</v>
      </c>
      <c r="P10" s="1">
        <f>YEAR(Sales_Data[[#This Row],[Date]])</f>
        <v>2024</v>
      </c>
      <c r="Q10" s="13">
        <f t="shared" ca="1" si="0"/>
        <v>988</v>
      </c>
      <c r="R10" s="1">
        <f t="shared" ca="1" si="1"/>
        <v>2</v>
      </c>
      <c r="S10" s="17">
        <f t="shared" si="2"/>
        <v>45412</v>
      </c>
      <c r="T10" s="1" t="str">
        <f t="shared" si="3"/>
        <v>High Value</v>
      </c>
      <c r="U10" s="20">
        <f t="shared" ca="1" si="4"/>
        <v>46287.029763888888</v>
      </c>
    </row>
    <row r="11" spans="1:21" ht="15.75" thickBot="1" x14ac:dyDescent="0.3">
      <c r="A11" s="4" t="s">
        <v>64</v>
      </c>
      <c r="B11" s="2">
        <v>45408</v>
      </c>
      <c r="C11" s="1" t="s">
        <v>65</v>
      </c>
      <c r="D11" s="1" t="s">
        <v>66</v>
      </c>
      <c r="E11" s="1" t="s">
        <v>31</v>
      </c>
      <c r="F11" s="1" t="s">
        <v>32</v>
      </c>
      <c r="G11" s="39" t="s">
        <v>33</v>
      </c>
      <c r="H11" s="3">
        <v>3</v>
      </c>
      <c r="I11" s="3">
        <v>59.99</v>
      </c>
      <c r="J11" s="1" t="s">
        <v>20</v>
      </c>
      <c r="K11" s="1" t="s">
        <v>50</v>
      </c>
      <c r="L11" s="1" t="s">
        <v>27</v>
      </c>
      <c r="M11" s="2">
        <v>45207</v>
      </c>
      <c r="N11" s="43">
        <v>179.97</v>
      </c>
      <c r="O11" s="1" t="str">
        <f>TEXT(Sales_Data[[#This Row],[Date]],"mmm-yyyy")</f>
        <v>Apr-2024</v>
      </c>
      <c r="P11" s="1">
        <f>YEAR(Sales_Data[[#This Row],[Date]])</f>
        <v>2024</v>
      </c>
      <c r="Q11" s="13">
        <f t="shared" ca="1" si="0"/>
        <v>1080</v>
      </c>
      <c r="R11" s="1">
        <f t="shared" ca="1" si="1"/>
        <v>2</v>
      </c>
      <c r="S11" s="17">
        <f t="shared" si="2"/>
        <v>45412</v>
      </c>
      <c r="T11" s="1" t="str">
        <f t="shared" si="3"/>
        <v>Normal</v>
      </c>
      <c r="U11" s="20">
        <f t="shared" ca="1" si="4"/>
        <v>46287.029763888888</v>
      </c>
    </row>
    <row r="12" spans="1:21" ht="15.75" thickBot="1" x14ac:dyDescent="0.3">
      <c r="A12" s="4" t="s">
        <v>67</v>
      </c>
      <c r="B12" s="2">
        <v>45408</v>
      </c>
      <c r="C12" s="1" t="s">
        <v>68</v>
      </c>
      <c r="D12" s="1" t="s">
        <v>69</v>
      </c>
      <c r="E12" s="1" t="s">
        <v>44</v>
      </c>
      <c r="F12" s="1" t="s">
        <v>45</v>
      </c>
      <c r="G12" s="39" t="s">
        <v>46</v>
      </c>
      <c r="H12" s="3">
        <v>1</v>
      </c>
      <c r="I12" s="3">
        <v>149.99</v>
      </c>
      <c r="J12" s="1" t="s">
        <v>26</v>
      </c>
      <c r="K12" s="1" t="s">
        <v>50</v>
      </c>
      <c r="L12" s="1" t="s">
        <v>36</v>
      </c>
      <c r="M12" s="2">
        <v>45103</v>
      </c>
      <c r="N12" s="43">
        <v>149.99</v>
      </c>
      <c r="O12" s="1" t="str">
        <f>TEXT(Sales_Data[[#This Row],[Date]],"mmm-yyyy")</f>
        <v>Apr-2024</v>
      </c>
      <c r="P12" s="1">
        <f>YEAR(Sales_Data[[#This Row],[Date]])</f>
        <v>2024</v>
      </c>
      <c r="Q12" s="13">
        <f t="shared" ca="1" si="0"/>
        <v>1184</v>
      </c>
      <c r="R12" s="1">
        <f t="shared" ca="1" si="1"/>
        <v>3</v>
      </c>
      <c r="S12" s="17">
        <f t="shared" si="2"/>
        <v>45412</v>
      </c>
      <c r="T12" s="1" t="str">
        <f t="shared" si="3"/>
        <v>Normal</v>
      </c>
      <c r="U12" s="20">
        <f t="shared" ca="1" si="4"/>
        <v>46287.029763888888</v>
      </c>
    </row>
    <row r="13" spans="1:21" ht="15.75" thickBot="1" x14ac:dyDescent="0.3">
      <c r="A13" s="4" t="s">
        <v>70</v>
      </c>
      <c r="B13" s="2">
        <v>45408</v>
      </c>
      <c r="C13" s="1" t="s">
        <v>38</v>
      </c>
      <c r="D13" s="1" t="s">
        <v>39</v>
      </c>
      <c r="E13" s="1" t="s">
        <v>44</v>
      </c>
      <c r="F13" s="1" t="s">
        <v>45</v>
      </c>
      <c r="G13" s="39" t="s">
        <v>46</v>
      </c>
      <c r="H13" s="3">
        <v>5</v>
      </c>
      <c r="I13" s="3">
        <v>149.99</v>
      </c>
      <c r="J13" s="1" t="s">
        <v>57</v>
      </c>
      <c r="K13" s="1" t="s">
        <v>40</v>
      </c>
      <c r="L13" s="1" t="s">
        <v>22</v>
      </c>
      <c r="M13" s="2">
        <v>44830</v>
      </c>
      <c r="N13" s="43">
        <v>749.95</v>
      </c>
      <c r="O13" s="1" t="str">
        <f>TEXT(Sales_Data[[#This Row],[Date]],"mmm-yyyy")</f>
        <v>Apr-2024</v>
      </c>
      <c r="P13" s="1">
        <f>YEAR(Sales_Data[[#This Row],[Date]])</f>
        <v>2024</v>
      </c>
      <c r="Q13" s="13">
        <f t="shared" ca="1" si="0"/>
        <v>1457</v>
      </c>
      <c r="R13" s="1">
        <f t="shared" ca="1" si="1"/>
        <v>3</v>
      </c>
      <c r="S13" s="17">
        <f t="shared" si="2"/>
        <v>45412</v>
      </c>
      <c r="T13" s="1" t="str">
        <f t="shared" si="3"/>
        <v>Normal</v>
      </c>
      <c r="U13" s="20">
        <f t="shared" ca="1" si="4"/>
        <v>46287.029763888888</v>
      </c>
    </row>
    <row r="14" spans="1:21" ht="15.75" thickBot="1" x14ac:dyDescent="0.3">
      <c r="A14" s="4" t="s">
        <v>71</v>
      </c>
      <c r="B14" s="2">
        <v>45408</v>
      </c>
      <c r="C14" s="1" t="s">
        <v>72</v>
      </c>
      <c r="D14" s="1" t="s">
        <v>73</v>
      </c>
      <c r="E14" s="1" t="s">
        <v>44</v>
      </c>
      <c r="F14" s="1" t="s">
        <v>45</v>
      </c>
      <c r="G14" s="39" t="s">
        <v>46</v>
      </c>
      <c r="H14" s="3">
        <v>3</v>
      </c>
      <c r="I14" s="3">
        <v>149.99</v>
      </c>
      <c r="J14" s="1" t="s">
        <v>20</v>
      </c>
      <c r="K14" s="1" t="s">
        <v>40</v>
      </c>
      <c r="L14" s="1" t="s">
        <v>27</v>
      </c>
      <c r="M14" s="2">
        <v>44806</v>
      </c>
      <c r="N14" s="43">
        <v>449.97</v>
      </c>
      <c r="O14" s="1" t="str">
        <f>TEXT(Sales_Data[[#This Row],[Date]],"mmm-yyyy")</f>
        <v>Apr-2024</v>
      </c>
      <c r="P14" s="1">
        <f>YEAR(Sales_Data[[#This Row],[Date]])</f>
        <v>2024</v>
      </c>
      <c r="Q14" s="13">
        <f t="shared" ca="1" si="0"/>
        <v>1481</v>
      </c>
      <c r="R14" s="1">
        <f t="shared" ca="1" si="1"/>
        <v>4</v>
      </c>
      <c r="S14" s="17">
        <f t="shared" si="2"/>
        <v>45412</v>
      </c>
      <c r="T14" s="1" t="str">
        <f t="shared" si="3"/>
        <v>Normal</v>
      </c>
      <c r="U14" s="20">
        <f t="shared" ca="1" si="4"/>
        <v>46287.029763888888</v>
      </c>
    </row>
    <row r="15" spans="1:21" ht="15.75" thickBot="1" x14ac:dyDescent="0.3">
      <c r="A15" s="4" t="s">
        <v>74</v>
      </c>
      <c r="B15" s="2">
        <v>45409</v>
      </c>
      <c r="C15" s="1" t="s">
        <v>75</v>
      </c>
      <c r="D15" s="1" t="s">
        <v>76</v>
      </c>
      <c r="E15" s="1" t="s">
        <v>31</v>
      </c>
      <c r="F15" s="1" t="s">
        <v>32</v>
      </c>
      <c r="G15" s="39" t="s">
        <v>33</v>
      </c>
      <c r="H15" s="3">
        <v>3</v>
      </c>
      <c r="I15" s="3">
        <v>59.99</v>
      </c>
      <c r="J15" s="1" t="s">
        <v>26</v>
      </c>
      <c r="K15" s="1" t="s">
        <v>40</v>
      </c>
      <c r="L15" s="1" t="s">
        <v>36</v>
      </c>
      <c r="M15" s="2">
        <v>45351</v>
      </c>
      <c r="N15" s="43">
        <v>179.97</v>
      </c>
      <c r="O15" s="1" t="str">
        <f>TEXT(Sales_Data[[#This Row],[Date]],"mmm-yyyy")</f>
        <v>Apr-2024</v>
      </c>
      <c r="P15" s="1">
        <f>YEAR(Sales_Data[[#This Row],[Date]])</f>
        <v>2024</v>
      </c>
      <c r="Q15" s="13">
        <f t="shared" ca="1" si="0"/>
        <v>936</v>
      </c>
      <c r="R15" s="1">
        <f t="shared" ca="1" si="1"/>
        <v>2</v>
      </c>
      <c r="S15" s="17">
        <f t="shared" si="2"/>
        <v>45412</v>
      </c>
      <c r="T15" s="1" t="str">
        <f t="shared" si="3"/>
        <v>Normal</v>
      </c>
      <c r="U15" s="20">
        <f t="shared" ca="1" si="4"/>
        <v>46287.029763888888</v>
      </c>
    </row>
    <row r="16" spans="1:21" ht="15.75" thickBot="1" x14ac:dyDescent="0.3">
      <c r="A16" s="4" t="s">
        <v>77</v>
      </c>
      <c r="B16" s="2">
        <v>45409</v>
      </c>
      <c r="C16" s="1" t="s">
        <v>78</v>
      </c>
      <c r="D16" s="1" t="s">
        <v>79</v>
      </c>
      <c r="E16" s="1" t="s">
        <v>80</v>
      </c>
      <c r="F16" s="1" t="s">
        <v>81</v>
      </c>
      <c r="G16" s="39" t="s">
        <v>19</v>
      </c>
      <c r="H16" s="3">
        <v>3</v>
      </c>
      <c r="I16" s="3">
        <v>699.99</v>
      </c>
      <c r="J16" s="1" t="s">
        <v>26</v>
      </c>
      <c r="K16" s="1" t="s">
        <v>50</v>
      </c>
      <c r="L16" s="1" t="s">
        <v>22</v>
      </c>
      <c r="M16" s="2">
        <v>44577</v>
      </c>
      <c r="N16" s="43">
        <v>2099.9699999999998</v>
      </c>
      <c r="O16" s="1" t="str">
        <f>TEXT(Sales_Data[[#This Row],[Date]],"mmm-yyyy")</f>
        <v>Apr-2024</v>
      </c>
      <c r="P16" s="1">
        <f>YEAR(Sales_Data[[#This Row],[Date]])</f>
        <v>2024</v>
      </c>
      <c r="Q16" s="13">
        <f t="shared" ca="1" si="0"/>
        <v>1710</v>
      </c>
      <c r="R16" s="1">
        <f t="shared" ca="1" si="1"/>
        <v>4</v>
      </c>
      <c r="S16" s="17">
        <f t="shared" si="2"/>
        <v>45412</v>
      </c>
      <c r="T16" s="1" t="str">
        <f t="shared" si="3"/>
        <v>High Value</v>
      </c>
      <c r="U16" s="20">
        <f t="shared" ca="1" si="4"/>
        <v>46287.029763888888</v>
      </c>
    </row>
    <row r="17" spans="1:21" ht="15.75" thickBot="1" x14ac:dyDescent="0.3">
      <c r="A17" s="4" t="s">
        <v>82</v>
      </c>
      <c r="B17" s="2">
        <v>45409</v>
      </c>
      <c r="C17" s="1" t="s">
        <v>83</v>
      </c>
      <c r="D17" s="1" t="s">
        <v>84</v>
      </c>
      <c r="E17" s="1" t="s">
        <v>61</v>
      </c>
      <c r="F17" s="1" t="s">
        <v>62</v>
      </c>
      <c r="G17" s="39" t="s">
        <v>19</v>
      </c>
      <c r="H17" s="3">
        <v>1</v>
      </c>
      <c r="I17" s="3">
        <v>899.99</v>
      </c>
      <c r="J17" s="1" t="s">
        <v>57</v>
      </c>
      <c r="K17" s="1" t="s">
        <v>40</v>
      </c>
      <c r="L17" s="1" t="s">
        <v>36</v>
      </c>
      <c r="M17" s="2">
        <v>44920</v>
      </c>
      <c r="N17" s="43">
        <v>899.99</v>
      </c>
      <c r="O17" s="1" t="str">
        <f>TEXT(Sales_Data[[#This Row],[Date]],"mmm-yyyy")</f>
        <v>Apr-2024</v>
      </c>
      <c r="P17" s="1">
        <f>YEAR(Sales_Data[[#This Row],[Date]])</f>
        <v>2024</v>
      </c>
      <c r="Q17" s="13">
        <f t="shared" ca="1" si="0"/>
        <v>1367</v>
      </c>
      <c r="R17" s="1">
        <f t="shared" ca="1" si="1"/>
        <v>3</v>
      </c>
      <c r="S17" s="17">
        <f t="shared" si="2"/>
        <v>45412</v>
      </c>
      <c r="T17" s="1" t="str">
        <f t="shared" si="3"/>
        <v>Normal</v>
      </c>
      <c r="U17" s="20">
        <f t="shared" ca="1" si="4"/>
        <v>46287.029763888888</v>
      </c>
    </row>
    <row r="18" spans="1:21" ht="15.75" thickBot="1" x14ac:dyDescent="0.3">
      <c r="A18" s="4" t="s">
        <v>85</v>
      </c>
      <c r="B18" s="2">
        <v>45410</v>
      </c>
      <c r="C18" s="1" t="s">
        <v>86</v>
      </c>
      <c r="D18" s="1" t="s">
        <v>87</v>
      </c>
      <c r="E18" s="1" t="s">
        <v>44</v>
      </c>
      <c r="F18" s="1" t="s">
        <v>45</v>
      </c>
      <c r="G18" s="39" t="s">
        <v>46</v>
      </c>
      <c r="H18" s="3">
        <v>4</v>
      </c>
      <c r="I18" s="3">
        <v>149.99</v>
      </c>
      <c r="J18" s="1" t="s">
        <v>57</v>
      </c>
      <c r="K18" s="1" t="s">
        <v>40</v>
      </c>
      <c r="L18" s="1" t="s">
        <v>27</v>
      </c>
      <c r="M18" s="2">
        <v>45374</v>
      </c>
      <c r="N18" s="43">
        <v>599.96</v>
      </c>
      <c r="O18" s="1" t="str">
        <f>TEXT(Sales_Data[[#This Row],[Date]],"mmm-yyyy")</f>
        <v>Apr-2024</v>
      </c>
      <c r="P18" s="1">
        <f>YEAR(Sales_Data[[#This Row],[Date]])</f>
        <v>2024</v>
      </c>
      <c r="Q18" s="13">
        <f t="shared" ca="1" si="0"/>
        <v>913</v>
      </c>
      <c r="R18" s="1">
        <f t="shared" ca="1" si="1"/>
        <v>2</v>
      </c>
      <c r="S18" s="17">
        <f t="shared" si="2"/>
        <v>45412</v>
      </c>
      <c r="T18" s="1" t="str">
        <f t="shared" si="3"/>
        <v>Normal</v>
      </c>
      <c r="U18" s="20">
        <f t="shared" ca="1" si="4"/>
        <v>46287.029763888888</v>
      </c>
    </row>
    <row r="19" spans="1:21" ht="15.75" thickBot="1" x14ac:dyDescent="0.3">
      <c r="A19" s="4" t="s">
        <v>88</v>
      </c>
      <c r="B19" s="2">
        <v>45410</v>
      </c>
      <c r="C19" s="1" t="s">
        <v>89</v>
      </c>
      <c r="D19" s="1" t="s">
        <v>90</v>
      </c>
      <c r="E19" s="1" t="s">
        <v>80</v>
      </c>
      <c r="F19" s="1" t="s">
        <v>81</v>
      </c>
      <c r="G19" s="39" t="s">
        <v>19</v>
      </c>
      <c r="H19" s="3">
        <v>2</v>
      </c>
      <c r="I19" s="3">
        <v>699.99</v>
      </c>
      <c r="J19" s="1" t="s">
        <v>20</v>
      </c>
      <c r="K19" s="1" t="s">
        <v>40</v>
      </c>
      <c r="L19" s="1" t="s">
        <v>22</v>
      </c>
      <c r="M19" s="2">
        <v>44781</v>
      </c>
      <c r="N19" s="43">
        <v>1399.98</v>
      </c>
      <c r="O19" s="1" t="str">
        <f>TEXT(Sales_Data[[#This Row],[Date]],"mmm-yyyy")</f>
        <v>Apr-2024</v>
      </c>
      <c r="P19" s="1">
        <f>YEAR(Sales_Data[[#This Row],[Date]])</f>
        <v>2024</v>
      </c>
      <c r="Q19" s="13">
        <f t="shared" ca="1" si="0"/>
        <v>1506</v>
      </c>
      <c r="R19" s="1">
        <f t="shared" ca="1" si="1"/>
        <v>4</v>
      </c>
      <c r="S19" s="17">
        <f t="shared" si="2"/>
        <v>45412</v>
      </c>
      <c r="T19" s="1" t="str">
        <f t="shared" si="3"/>
        <v>High Value</v>
      </c>
      <c r="U19" s="20">
        <f t="shared" ca="1" si="4"/>
        <v>46287.029763888888</v>
      </c>
    </row>
    <row r="20" spans="1:21" ht="15.75" thickBot="1" x14ac:dyDescent="0.3">
      <c r="A20" s="4" t="s">
        <v>91</v>
      </c>
      <c r="B20" s="2">
        <v>45410</v>
      </c>
      <c r="C20" s="1" t="s">
        <v>86</v>
      </c>
      <c r="D20" s="1" t="s">
        <v>87</v>
      </c>
      <c r="E20" s="1" t="s">
        <v>61</v>
      </c>
      <c r="F20" s="1" t="s">
        <v>62</v>
      </c>
      <c r="G20" s="39" t="s">
        <v>19</v>
      </c>
      <c r="H20" s="3">
        <v>4</v>
      </c>
      <c r="I20" s="3">
        <v>899.99</v>
      </c>
      <c r="J20" s="1" t="s">
        <v>26</v>
      </c>
      <c r="K20" s="1" t="s">
        <v>50</v>
      </c>
      <c r="L20" s="1" t="s">
        <v>36</v>
      </c>
      <c r="M20" s="2">
        <v>45327</v>
      </c>
      <c r="N20" s="43">
        <v>3599.96</v>
      </c>
      <c r="O20" s="1" t="str">
        <f>TEXT(Sales_Data[[#This Row],[Date]],"mmm-yyyy")</f>
        <v>Apr-2024</v>
      </c>
      <c r="P20" s="1">
        <f>YEAR(Sales_Data[[#This Row],[Date]])</f>
        <v>2024</v>
      </c>
      <c r="Q20" s="13">
        <f t="shared" ca="1" si="0"/>
        <v>960</v>
      </c>
      <c r="R20" s="1">
        <f t="shared" ca="1" si="1"/>
        <v>2</v>
      </c>
      <c r="S20" s="17">
        <f t="shared" si="2"/>
        <v>45412</v>
      </c>
      <c r="T20" s="1" t="str">
        <f t="shared" si="3"/>
        <v>High Value</v>
      </c>
      <c r="U20" s="20">
        <f t="shared" ca="1" si="4"/>
        <v>46287.029763888888</v>
      </c>
    </row>
    <row r="21" spans="1:21" ht="15.75" thickBot="1" x14ac:dyDescent="0.3">
      <c r="A21" s="4" t="s">
        <v>92</v>
      </c>
      <c r="B21" s="2">
        <v>45410</v>
      </c>
      <c r="C21" s="1" t="s">
        <v>93</v>
      </c>
      <c r="D21" s="1" t="s">
        <v>94</v>
      </c>
      <c r="E21" s="1" t="s">
        <v>17</v>
      </c>
      <c r="F21" s="1" t="s">
        <v>18</v>
      </c>
      <c r="G21" s="39" t="s">
        <v>19</v>
      </c>
      <c r="H21" s="3">
        <v>3</v>
      </c>
      <c r="I21" s="3">
        <v>249.99</v>
      </c>
      <c r="J21" s="1" t="s">
        <v>26</v>
      </c>
      <c r="K21" s="1" t="s">
        <v>40</v>
      </c>
      <c r="L21" s="1" t="s">
        <v>27</v>
      </c>
      <c r="M21" s="2">
        <v>45224</v>
      </c>
      <c r="N21" s="43">
        <v>749.97</v>
      </c>
      <c r="O21" s="1" t="str">
        <f>TEXT(Sales_Data[[#This Row],[Date]],"mmm-yyyy")</f>
        <v>Apr-2024</v>
      </c>
      <c r="P21" s="1">
        <f>YEAR(Sales_Data[[#This Row],[Date]])</f>
        <v>2024</v>
      </c>
      <c r="Q21" s="13">
        <f t="shared" ca="1" si="0"/>
        <v>1063</v>
      </c>
      <c r="R21" s="1">
        <f t="shared" ca="1" si="1"/>
        <v>2</v>
      </c>
      <c r="S21" s="17">
        <f t="shared" si="2"/>
        <v>45412</v>
      </c>
      <c r="T21" s="1" t="str">
        <f t="shared" si="3"/>
        <v>Normal</v>
      </c>
      <c r="U21" s="20">
        <f t="shared" ca="1" si="4"/>
        <v>46287.029763888888</v>
      </c>
    </row>
    <row r="22" spans="1:21" ht="15.75" thickBot="1" x14ac:dyDescent="0.3">
      <c r="A22" s="4" t="s">
        <v>95</v>
      </c>
      <c r="B22" s="2">
        <v>45412</v>
      </c>
      <c r="C22" s="1" t="s">
        <v>96</v>
      </c>
      <c r="D22" s="1" t="s">
        <v>97</v>
      </c>
      <c r="E22" s="1" t="s">
        <v>80</v>
      </c>
      <c r="F22" s="1" t="s">
        <v>81</v>
      </c>
      <c r="G22" s="39" t="s">
        <v>19</v>
      </c>
      <c r="H22" s="3">
        <v>5</v>
      </c>
      <c r="I22" s="3">
        <v>699.99</v>
      </c>
      <c r="J22" s="1" t="s">
        <v>20</v>
      </c>
      <c r="K22" s="1" t="s">
        <v>50</v>
      </c>
      <c r="L22" s="1" t="s">
        <v>22</v>
      </c>
      <c r="M22" s="2">
        <v>45167</v>
      </c>
      <c r="N22" s="43">
        <v>3499.95</v>
      </c>
      <c r="O22" s="1" t="str">
        <f>TEXT(Sales_Data[[#This Row],[Date]],"mmm-yyyy")</f>
        <v>Apr-2024</v>
      </c>
      <c r="P22" s="1">
        <f>YEAR(Sales_Data[[#This Row],[Date]])</f>
        <v>2024</v>
      </c>
      <c r="Q22" s="13">
        <f t="shared" ca="1" si="0"/>
        <v>1120</v>
      </c>
      <c r="R22" s="1">
        <f t="shared" ca="1" si="1"/>
        <v>3</v>
      </c>
      <c r="S22" s="17">
        <f t="shared" si="2"/>
        <v>45412</v>
      </c>
      <c r="T22" s="1" t="str">
        <f t="shared" si="3"/>
        <v>High Value</v>
      </c>
      <c r="U22" s="20">
        <f t="shared" ca="1" si="4"/>
        <v>46287.029763888888</v>
      </c>
    </row>
    <row r="23" spans="1:21" ht="15.75" thickBot="1" x14ac:dyDescent="0.3">
      <c r="A23" s="4" t="s">
        <v>98</v>
      </c>
      <c r="B23" s="2">
        <v>45413</v>
      </c>
      <c r="C23" s="1" t="s">
        <v>99</v>
      </c>
      <c r="D23" s="1" t="s">
        <v>100</v>
      </c>
      <c r="E23" s="1" t="s">
        <v>80</v>
      </c>
      <c r="F23" s="1" t="s">
        <v>81</v>
      </c>
      <c r="G23" s="39" t="s">
        <v>19</v>
      </c>
      <c r="H23" s="3">
        <v>4</v>
      </c>
      <c r="I23" s="3">
        <v>699.99</v>
      </c>
      <c r="J23" s="1" t="s">
        <v>20</v>
      </c>
      <c r="K23" s="1" t="s">
        <v>63</v>
      </c>
      <c r="L23" s="1" t="s">
        <v>36</v>
      </c>
      <c r="M23" s="2">
        <v>44409</v>
      </c>
      <c r="N23" s="43">
        <v>2799.96</v>
      </c>
      <c r="O23" s="1" t="str">
        <f>TEXT(Sales_Data[[#This Row],[Date]],"mmm-yyyy")</f>
        <v>May-2024</v>
      </c>
      <c r="P23" s="1">
        <f>YEAR(Sales_Data[[#This Row],[Date]])</f>
        <v>2024</v>
      </c>
      <c r="Q23" s="13">
        <f t="shared" ca="1" si="0"/>
        <v>1878</v>
      </c>
      <c r="R23" s="1">
        <f t="shared" ca="1" si="1"/>
        <v>5</v>
      </c>
      <c r="S23" s="17">
        <f t="shared" si="2"/>
        <v>45443</v>
      </c>
      <c r="T23" s="1" t="str">
        <f t="shared" si="3"/>
        <v>High Value</v>
      </c>
      <c r="U23" s="20">
        <f t="shared" ca="1" si="4"/>
        <v>46287.029763888888</v>
      </c>
    </row>
    <row r="24" spans="1:21" ht="15.75" thickBot="1" x14ac:dyDescent="0.3">
      <c r="A24" s="4" t="s">
        <v>101</v>
      </c>
      <c r="B24" s="2">
        <v>45415</v>
      </c>
      <c r="C24" s="1" t="s">
        <v>102</v>
      </c>
      <c r="D24" s="1" t="s">
        <v>103</v>
      </c>
      <c r="E24" s="1" t="s">
        <v>17</v>
      </c>
      <c r="F24" s="1" t="s">
        <v>18</v>
      </c>
      <c r="G24" s="39" t="s">
        <v>19</v>
      </c>
      <c r="H24" s="3">
        <v>4</v>
      </c>
      <c r="I24" s="3">
        <v>249.99</v>
      </c>
      <c r="J24" s="1" t="s">
        <v>34</v>
      </c>
      <c r="K24" s="1" t="s">
        <v>40</v>
      </c>
      <c r="L24" s="1" t="s">
        <v>36</v>
      </c>
      <c r="M24" s="2">
        <v>44468</v>
      </c>
      <c r="N24" s="43">
        <v>999.96</v>
      </c>
      <c r="O24" s="1" t="str">
        <f>TEXT(Sales_Data[[#This Row],[Date]],"mmm-yyyy")</f>
        <v>May-2024</v>
      </c>
      <c r="P24" s="1">
        <f>YEAR(Sales_Data[[#This Row],[Date]])</f>
        <v>2024</v>
      </c>
      <c r="Q24" s="13">
        <f t="shared" ca="1" si="0"/>
        <v>1819</v>
      </c>
      <c r="R24" s="1">
        <f t="shared" ca="1" si="1"/>
        <v>4</v>
      </c>
      <c r="S24" s="17">
        <f t="shared" si="2"/>
        <v>45443</v>
      </c>
      <c r="T24" s="1" t="str">
        <f t="shared" si="3"/>
        <v>Normal</v>
      </c>
      <c r="U24" s="20">
        <f t="shared" ca="1" si="4"/>
        <v>46287.029763888888</v>
      </c>
    </row>
    <row r="25" spans="1:21" ht="15.75" thickBot="1" x14ac:dyDescent="0.3">
      <c r="A25" s="4" t="s">
        <v>104</v>
      </c>
      <c r="B25" s="2">
        <v>45416</v>
      </c>
      <c r="C25" s="1" t="s">
        <v>86</v>
      </c>
      <c r="D25" s="1" t="s">
        <v>87</v>
      </c>
      <c r="E25" s="1" t="s">
        <v>105</v>
      </c>
      <c r="F25" s="1" t="s">
        <v>106</v>
      </c>
      <c r="G25" s="39" t="s">
        <v>46</v>
      </c>
      <c r="H25" s="3">
        <v>4</v>
      </c>
      <c r="I25" s="3">
        <v>299.99</v>
      </c>
      <c r="J25" s="1" t="s">
        <v>20</v>
      </c>
      <c r="K25" s="1" t="s">
        <v>50</v>
      </c>
      <c r="L25" s="1" t="s">
        <v>27</v>
      </c>
      <c r="M25" s="2">
        <v>44716</v>
      </c>
      <c r="N25" s="43">
        <v>1199.96</v>
      </c>
      <c r="O25" s="1" t="str">
        <f>TEXT(Sales_Data[[#This Row],[Date]],"mmm-yyyy")</f>
        <v>May-2024</v>
      </c>
      <c r="P25" s="1">
        <f>YEAR(Sales_Data[[#This Row],[Date]])</f>
        <v>2024</v>
      </c>
      <c r="Q25" s="13">
        <f t="shared" ca="1" si="0"/>
        <v>1571</v>
      </c>
      <c r="R25" s="1">
        <f t="shared" ca="1" si="1"/>
        <v>4</v>
      </c>
      <c r="S25" s="17">
        <f t="shared" si="2"/>
        <v>45443</v>
      </c>
      <c r="T25" s="1" t="str">
        <f t="shared" si="3"/>
        <v>High Value</v>
      </c>
      <c r="U25" s="20">
        <f t="shared" ca="1" si="4"/>
        <v>46287.029763888888</v>
      </c>
    </row>
    <row r="26" spans="1:21" ht="15.75" thickBot="1" x14ac:dyDescent="0.3">
      <c r="A26" s="4" t="s">
        <v>107</v>
      </c>
      <c r="B26" s="2">
        <v>45422</v>
      </c>
      <c r="C26" s="1" t="s">
        <v>108</v>
      </c>
      <c r="D26" s="1" t="s">
        <v>109</v>
      </c>
      <c r="E26" s="1" t="s">
        <v>17</v>
      </c>
      <c r="F26" s="1" t="s">
        <v>18</v>
      </c>
      <c r="G26" s="39" t="s">
        <v>19</v>
      </c>
      <c r="H26" s="3">
        <v>5</v>
      </c>
      <c r="I26" s="3">
        <v>249.99</v>
      </c>
      <c r="J26" s="1" t="s">
        <v>26</v>
      </c>
      <c r="K26" s="1" t="s">
        <v>50</v>
      </c>
      <c r="L26" s="1" t="s">
        <v>36</v>
      </c>
      <c r="M26" s="2">
        <v>44525</v>
      </c>
      <c r="N26" s="43">
        <v>1249.95</v>
      </c>
      <c r="O26" s="1" t="str">
        <f>TEXT(Sales_Data[[#This Row],[Date]],"mmm-yyyy")</f>
        <v>May-2024</v>
      </c>
      <c r="P26" s="1">
        <f>YEAR(Sales_Data[[#This Row],[Date]])</f>
        <v>2024</v>
      </c>
      <c r="Q26" s="13">
        <f t="shared" ca="1" si="0"/>
        <v>1762</v>
      </c>
      <c r="R26" s="1">
        <f t="shared" ca="1" si="1"/>
        <v>4</v>
      </c>
      <c r="S26" s="17">
        <f t="shared" si="2"/>
        <v>45443</v>
      </c>
      <c r="T26" s="1" t="str">
        <f t="shared" si="3"/>
        <v>High Value</v>
      </c>
      <c r="U26" s="20">
        <f t="shared" ca="1" si="4"/>
        <v>46287.029763888888</v>
      </c>
    </row>
    <row r="27" spans="1:21" ht="15.75" thickBot="1" x14ac:dyDescent="0.3">
      <c r="A27" s="4" t="s">
        <v>110</v>
      </c>
      <c r="B27" s="2">
        <v>45424</v>
      </c>
      <c r="C27" s="1" t="s">
        <v>68</v>
      </c>
      <c r="D27" s="1" t="s">
        <v>69</v>
      </c>
      <c r="E27" s="1" t="s">
        <v>105</v>
      </c>
      <c r="F27" s="1" t="s">
        <v>106</v>
      </c>
      <c r="G27" s="39" t="s">
        <v>46</v>
      </c>
      <c r="H27" s="3">
        <v>5</v>
      </c>
      <c r="I27" s="3">
        <v>299.99</v>
      </c>
      <c r="J27" s="1" t="s">
        <v>34</v>
      </c>
      <c r="K27" s="1" t="s">
        <v>63</v>
      </c>
      <c r="L27" s="1" t="s">
        <v>22</v>
      </c>
      <c r="M27" s="2">
        <v>45168</v>
      </c>
      <c r="N27" s="43">
        <v>1499.95</v>
      </c>
      <c r="O27" s="1" t="str">
        <f>TEXT(Sales_Data[[#This Row],[Date]],"mmm-yyyy")</f>
        <v>May-2024</v>
      </c>
      <c r="P27" s="1">
        <f>YEAR(Sales_Data[[#This Row],[Date]])</f>
        <v>2024</v>
      </c>
      <c r="Q27" s="13">
        <f t="shared" ca="1" si="0"/>
        <v>1119</v>
      </c>
      <c r="R27" s="1">
        <f t="shared" ca="1" si="1"/>
        <v>3</v>
      </c>
      <c r="S27" s="17">
        <f t="shared" si="2"/>
        <v>45443</v>
      </c>
      <c r="T27" s="1" t="str">
        <f t="shared" si="3"/>
        <v>High Value</v>
      </c>
      <c r="U27" s="20">
        <f t="shared" ca="1" si="4"/>
        <v>46287.029763888888</v>
      </c>
    </row>
    <row r="28" spans="1:21" ht="15.75" thickBot="1" x14ac:dyDescent="0.3">
      <c r="A28" s="4" t="s">
        <v>111</v>
      </c>
      <c r="B28" s="2">
        <v>45424</v>
      </c>
      <c r="C28" s="1" t="s">
        <v>112</v>
      </c>
      <c r="D28" s="1" t="s">
        <v>113</v>
      </c>
      <c r="E28" s="1" t="s">
        <v>114</v>
      </c>
      <c r="F28" s="1" t="s">
        <v>115</v>
      </c>
      <c r="G28" s="39" t="s">
        <v>33</v>
      </c>
      <c r="H28" s="3">
        <v>3</v>
      </c>
      <c r="I28" s="3">
        <v>79.989999999999995</v>
      </c>
      <c r="J28" s="1" t="s">
        <v>34</v>
      </c>
      <c r="K28" s="1" t="s">
        <v>63</v>
      </c>
      <c r="L28" s="1" t="s">
        <v>27</v>
      </c>
      <c r="M28" s="2">
        <v>45012</v>
      </c>
      <c r="N28" s="43">
        <v>239.97</v>
      </c>
      <c r="O28" s="1" t="str">
        <f>TEXT(Sales_Data[[#This Row],[Date]],"mmm-yyyy")</f>
        <v>May-2024</v>
      </c>
      <c r="P28" s="1">
        <f>YEAR(Sales_Data[[#This Row],[Date]])</f>
        <v>2024</v>
      </c>
      <c r="Q28" s="13">
        <f t="shared" ca="1" si="0"/>
        <v>1275</v>
      </c>
      <c r="R28" s="1">
        <f t="shared" ca="1" si="1"/>
        <v>3</v>
      </c>
      <c r="S28" s="17">
        <f t="shared" si="2"/>
        <v>45443</v>
      </c>
      <c r="T28" s="1" t="str">
        <f t="shared" si="3"/>
        <v>Normal</v>
      </c>
      <c r="U28" s="20">
        <f t="shared" ca="1" si="4"/>
        <v>46287.029763888888</v>
      </c>
    </row>
    <row r="29" spans="1:21" ht="15.75" thickBot="1" x14ac:dyDescent="0.3">
      <c r="A29" s="4" t="s">
        <v>116</v>
      </c>
      <c r="B29" s="2">
        <v>45424</v>
      </c>
      <c r="C29" s="1" t="s">
        <v>99</v>
      </c>
      <c r="D29" s="1" t="s">
        <v>100</v>
      </c>
      <c r="E29" s="1" t="s">
        <v>117</v>
      </c>
      <c r="F29" s="1" t="s">
        <v>118</v>
      </c>
      <c r="G29" s="39" t="s">
        <v>19</v>
      </c>
      <c r="H29" s="3">
        <v>5</v>
      </c>
      <c r="I29" s="3">
        <v>89.99</v>
      </c>
      <c r="J29" s="1" t="s">
        <v>20</v>
      </c>
      <c r="K29" s="1" t="s">
        <v>40</v>
      </c>
      <c r="L29" s="1" t="s">
        <v>27</v>
      </c>
      <c r="M29" s="2">
        <v>44919</v>
      </c>
      <c r="N29" s="43">
        <v>449.95</v>
      </c>
      <c r="O29" s="1" t="str">
        <f>TEXT(Sales_Data[[#This Row],[Date]],"mmm-yyyy")</f>
        <v>May-2024</v>
      </c>
      <c r="P29" s="1">
        <f>YEAR(Sales_Data[[#This Row],[Date]])</f>
        <v>2024</v>
      </c>
      <c r="Q29" s="13">
        <f t="shared" ca="1" si="0"/>
        <v>1368</v>
      </c>
      <c r="R29" s="1">
        <f t="shared" ca="1" si="1"/>
        <v>3</v>
      </c>
      <c r="S29" s="17">
        <f t="shared" si="2"/>
        <v>45443</v>
      </c>
      <c r="T29" s="1" t="str">
        <f t="shared" si="3"/>
        <v>Normal</v>
      </c>
      <c r="U29" s="20">
        <f t="shared" ca="1" si="4"/>
        <v>46287.029763888888</v>
      </c>
    </row>
    <row r="30" spans="1:21" ht="15.75" thickBot="1" x14ac:dyDescent="0.3">
      <c r="A30" s="4" t="s">
        <v>119</v>
      </c>
      <c r="B30" s="2">
        <v>45425</v>
      </c>
      <c r="C30" s="1" t="s">
        <v>120</v>
      </c>
      <c r="D30" s="1" t="s">
        <v>121</v>
      </c>
      <c r="E30" s="1" t="s">
        <v>31</v>
      </c>
      <c r="F30" s="1" t="s">
        <v>32</v>
      </c>
      <c r="G30" s="39" t="s">
        <v>33</v>
      </c>
      <c r="H30" s="3">
        <v>2</v>
      </c>
      <c r="I30" s="3">
        <v>59.99</v>
      </c>
      <c r="J30" s="1" t="s">
        <v>57</v>
      </c>
      <c r="K30" s="1" t="s">
        <v>21</v>
      </c>
      <c r="L30" s="1" t="s">
        <v>36</v>
      </c>
      <c r="M30" s="2">
        <v>45214</v>
      </c>
      <c r="N30" s="43">
        <v>119.98</v>
      </c>
      <c r="O30" s="1" t="str">
        <f>TEXT(Sales_Data[[#This Row],[Date]],"mmm-yyyy")</f>
        <v>May-2024</v>
      </c>
      <c r="P30" s="1">
        <f>YEAR(Sales_Data[[#This Row],[Date]])</f>
        <v>2024</v>
      </c>
      <c r="Q30" s="13">
        <f t="shared" ca="1" si="0"/>
        <v>1073</v>
      </c>
      <c r="R30" s="1">
        <f t="shared" ca="1" si="1"/>
        <v>2</v>
      </c>
      <c r="S30" s="17">
        <f t="shared" si="2"/>
        <v>45443</v>
      </c>
      <c r="T30" s="1" t="str">
        <f t="shared" si="3"/>
        <v>Normal</v>
      </c>
      <c r="U30" s="20">
        <f t="shared" ca="1" si="4"/>
        <v>46287.029763888888</v>
      </c>
    </row>
    <row r="31" spans="1:21" ht="15.75" thickBot="1" x14ac:dyDescent="0.3">
      <c r="A31" s="4" t="s">
        <v>122</v>
      </c>
      <c r="B31" s="2">
        <v>45427</v>
      </c>
      <c r="C31" s="1" t="s">
        <v>123</v>
      </c>
      <c r="D31" s="1" t="s">
        <v>124</v>
      </c>
      <c r="E31" s="1" t="s">
        <v>31</v>
      </c>
      <c r="F31" s="1" t="s">
        <v>32</v>
      </c>
      <c r="G31" s="39" t="s">
        <v>33</v>
      </c>
      <c r="H31" s="3">
        <v>4</v>
      </c>
      <c r="I31" s="3">
        <v>59.99</v>
      </c>
      <c r="J31" s="1" t="s">
        <v>57</v>
      </c>
      <c r="K31" s="1" t="s">
        <v>63</v>
      </c>
      <c r="L31" s="1" t="s">
        <v>36</v>
      </c>
      <c r="M31" s="2">
        <v>44867</v>
      </c>
      <c r="N31" s="43">
        <v>239.96</v>
      </c>
      <c r="O31" s="1" t="str">
        <f>TEXT(Sales_Data[[#This Row],[Date]],"mmm-yyyy")</f>
        <v>May-2024</v>
      </c>
      <c r="P31" s="1">
        <f>YEAR(Sales_Data[[#This Row],[Date]])</f>
        <v>2024</v>
      </c>
      <c r="Q31" s="13">
        <f t="shared" ca="1" si="0"/>
        <v>1420</v>
      </c>
      <c r="R31" s="1">
        <f t="shared" ca="1" si="1"/>
        <v>3</v>
      </c>
      <c r="S31" s="17">
        <f t="shared" si="2"/>
        <v>45443</v>
      </c>
      <c r="T31" s="1" t="str">
        <f t="shared" si="3"/>
        <v>Normal</v>
      </c>
      <c r="U31" s="20">
        <f t="shared" ca="1" si="4"/>
        <v>46287.029763888888</v>
      </c>
    </row>
    <row r="32" spans="1:21" ht="15.75" thickBot="1" x14ac:dyDescent="0.3">
      <c r="A32" s="4" t="s">
        <v>125</v>
      </c>
      <c r="B32" s="2">
        <v>45427</v>
      </c>
      <c r="C32" s="1" t="s">
        <v>55</v>
      </c>
      <c r="D32" s="1" t="s">
        <v>56</v>
      </c>
      <c r="E32" s="1" t="s">
        <v>126</v>
      </c>
      <c r="F32" s="1" t="s">
        <v>127</v>
      </c>
      <c r="G32" s="39" t="s">
        <v>46</v>
      </c>
      <c r="H32" s="3">
        <v>5</v>
      </c>
      <c r="I32" s="3">
        <v>199.99</v>
      </c>
      <c r="J32" s="1" t="s">
        <v>20</v>
      </c>
      <c r="K32" s="1" t="s">
        <v>35</v>
      </c>
      <c r="L32" s="1" t="s">
        <v>36</v>
      </c>
      <c r="M32" s="2">
        <v>44412</v>
      </c>
      <c r="N32" s="43">
        <v>999.95</v>
      </c>
      <c r="O32" s="1" t="str">
        <f>TEXT(Sales_Data[[#This Row],[Date]],"mmm-yyyy")</f>
        <v>May-2024</v>
      </c>
      <c r="P32" s="1">
        <f>YEAR(Sales_Data[[#This Row],[Date]])</f>
        <v>2024</v>
      </c>
      <c r="Q32" s="13">
        <f t="shared" ca="1" si="0"/>
        <v>1875</v>
      </c>
      <c r="R32" s="1">
        <f t="shared" ca="1" si="1"/>
        <v>5</v>
      </c>
      <c r="S32" s="17">
        <f t="shared" si="2"/>
        <v>45443</v>
      </c>
      <c r="T32" s="1" t="str">
        <f t="shared" si="3"/>
        <v>Normal</v>
      </c>
      <c r="U32" s="20">
        <f t="shared" ca="1" si="4"/>
        <v>46287.029763888888</v>
      </c>
    </row>
    <row r="33" spans="1:21" ht="15.75" thickBot="1" x14ac:dyDescent="0.3">
      <c r="A33" s="4" t="s">
        <v>128</v>
      </c>
      <c r="B33" s="2">
        <v>45428</v>
      </c>
      <c r="C33" s="1" t="s">
        <v>129</v>
      </c>
      <c r="D33" s="1" t="s">
        <v>130</v>
      </c>
      <c r="E33" s="1" t="s">
        <v>44</v>
      </c>
      <c r="F33" s="1" t="s">
        <v>45</v>
      </c>
      <c r="G33" s="39" t="s">
        <v>46</v>
      </c>
      <c r="H33" s="3">
        <v>2</v>
      </c>
      <c r="I33" s="3">
        <v>149.99</v>
      </c>
      <c r="J33" s="1" t="s">
        <v>26</v>
      </c>
      <c r="K33" s="1" t="s">
        <v>50</v>
      </c>
      <c r="L33" s="1" t="s">
        <v>22</v>
      </c>
      <c r="M33" s="2">
        <v>44823</v>
      </c>
      <c r="N33" s="43">
        <v>299.98</v>
      </c>
      <c r="O33" s="1" t="str">
        <f>TEXT(Sales_Data[[#This Row],[Date]],"mmm-yyyy")</f>
        <v>May-2024</v>
      </c>
      <c r="P33" s="1">
        <f>YEAR(Sales_Data[[#This Row],[Date]])</f>
        <v>2024</v>
      </c>
      <c r="Q33" s="13">
        <f t="shared" ca="1" si="0"/>
        <v>1464</v>
      </c>
      <c r="R33" s="1">
        <f t="shared" ca="1" si="1"/>
        <v>4</v>
      </c>
      <c r="S33" s="17">
        <f t="shared" si="2"/>
        <v>45443</v>
      </c>
      <c r="T33" s="1" t="str">
        <f t="shared" si="3"/>
        <v>Normal</v>
      </c>
      <c r="U33" s="20">
        <f t="shared" ca="1" si="4"/>
        <v>46287.029763888888</v>
      </c>
    </row>
    <row r="34" spans="1:21" ht="15.75" thickBot="1" x14ac:dyDescent="0.3">
      <c r="A34" s="4" t="s">
        <v>131</v>
      </c>
      <c r="B34" s="2">
        <v>45430</v>
      </c>
      <c r="C34" s="1" t="s">
        <v>132</v>
      </c>
      <c r="D34" s="1" t="s">
        <v>133</v>
      </c>
      <c r="E34" s="1" t="s">
        <v>44</v>
      </c>
      <c r="F34" s="1" t="s">
        <v>45</v>
      </c>
      <c r="G34" s="39" t="s">
        <v>46</v>
      </c>
      <c r="H34" s="3">
        <v>3</v>
      </c>
      <c r="I34" s="3">
        <v>149.99</v>
      </c>
      <c r="J34" s="1" t="s">
        <v>26</v>
      </c>
      <c r="K34" s="1" t="s">
        <v>50</v>
      </c>
      <c r="L34" s="1" t="s">
        <v>27</v>
      </c>
      <c r="M34" s="2">
        <v>45068</v>
      </c>
      <c r="N34" s="43">
        <v>449.97</v>
      </c>
      <c r="O34" s="1" t="str">
        <f>TEXT(Sales_Data[[#This Row],[Date]],"mmm-yyyy")</f>
        <v>May-2024</v>
      </c>
      <c r="P34" s="1">
        <f>YEAR(Sales_Data[[#This Row],[Date]])</f>
        <v>2024</v>
      </c>
      <c r="Q34" s="13">
        <f t="shared" ca="1" si="0"/>
        <v>1219</v>
      </c>
      <c r="R34" s="1">
        <f t="shared" ca="1" si="1"/>
        <v>3</v>
      </c>
      <c r="S34" s="17">
        <f t="shared" si="2"/>
        <v>45443</v>
      </c>
      <c r="T34" s="1" t="str">
        <f t="shared" si="3"/>
        <v>Normal</v>
      </c>
      <c r="U34" s="20">
        <f t="shared" ca="1" si="4"/>
        <v>46287.029763888888</v>
      </c>
    </row>
    <row r="35" spans="1:21" ht="15.75" thickBot="1" x14ac:dyDescent="0.3">
      <c r="A35" s="4" t="s">
        <v>134</v>
      </c>
      <c r="B35" s="2">
        <v>45432</v>
      </c>
      <c r="C35" s="1" t="s">
        <v>29</v>
      </c>
      <c r="D35" s="1" t="s">
        <v>30</v>
      </c>
      <c r="E35" s="1" t="s">
        <v>61</v>
      </c>
      <c r="F35" s="1" t="s">
        <v>62</v>
      </c>
      <c r="G35" s="39" t="s">
        <v>19</v>
      </c>
      <c r="H35" s="3">
        <v>1</v>
      </c>
      <c r="I35" s="3">
        <v>899.99</v>
      </c>
      <c r="J35" s="1" t="s">
        <v>26</v>
      </c>
      <c r="K35" s="1" t="s">
        <v>50</v>
      </c>
      <c r="L35" s="1" t="s">
        <v>27</v>
      </c>
      <c r="M35" s="2">
        <v>44578</v>
      </c>
      <c r="N35" s="43">
        <v>899.99</v>
      </c>
      <c r="O35" s="1" t="str">
        <f>TEXT(Sales_Data[[#This Row],[Date]],"mmm-yyyy")</f>
        <v>May-2024</v>
      </c>
      <c r="P35" s="1">
        <f>YEAR(Sales_Data[[#This Row],[Date]])</f>
        <v>2024</v>
      </c>
      <c r="Q35" s="13">
        <f t="shared" ca="1" si="0"/>
        <v>1709</v>
      </c>
      <c r="R35" s="1">
        <f t="shared" ca="1" si="1"/>
        <v>4</v>
      </c>
      <c r="S35" s="17">
        <f t="shared" si="2"/>
        <v>45443</v>
      </c>
      <c r="T35" s="1" t="str">
        <f t="shared" si="3"/>
        <v>Normal</v>
      </c>
      <c r="U35" s="20">
        <f t="shared" ca="1" si="4"/>
        <v>46287.029763888888</v>
      </c>
    </row>
    <row r="36" spans="1:21" ht="15.75" thickBot="1" x14ac:dyDescent="0.3">
      <c r="A36" s="4" t="s">
        <v>135</v>
      </c>
      <c r="B36" s="2">
        <v>45434</v>
      </c>
      <c r="C36" s="1" t="s">
        <v>99</v>
      </c>
      <c r="D36" s="1" t="s">
        <v>100</v>
      </c>
      <c r="E36" s="1" t="s">
        <v>105</v>
      </c>
      <c r="F36" s="1" t="s">
        <v>106</v>
      </c>
      <c r="G36" s="39" t="s">
        <v>46</v>
      </c>
      <c r="H36" s="3">
        <v>3</v>
      </c>
      <c r="I36" s="3">
        <v>299.99</v>
      </c>
      <c r="J36" s="1" t="s">
        <v>26</v>
      </c>
      <c r="K36" s="1" t="s">
        <v>63</v>
      </c>
      <c r="L36" s="1" t="s">
        <v>22</v>
      </c>
      <c r="M36" s="2">
        <v>44824</v>
      </c>
      <c r="N36" s="43">
        <v>899.97</v>
      </c>
      <c r="O36" s="1" t="str">
        <f>TEXT(Sales_Data[[#This Row],[Date]],"mmm-yyyy")</f>
        <v>May-2024</v>
      </c>
      <c r="P36" s="1">
        <f>YEAR(Sales_Data[[#This Row],[Date]])</f>
        <v>2024</v>
      </c>
      <c r="Q36" s="13">
        <f t="shared" ca="1" si="0"/>
        <v>1463</v>
      </c>
      <c r="R36" s="1">
        <f t="shared" ca="1" si="1"/>
        <v>4</v>
      </c>
      <c r="S36" s="17">
        <f t="shared" si="2"/>
        <v>45443</v>
      </c>
      <c r="T36" s="1" t="str">
        <f t="shared" si="3"/>
        <v>Normal</v>
      </c>
      <c r="U36" s="20">
        <f t="shared" ca="1" si="4"/>
        <v>46287.029763888888</v>
      </c>
    </row>
    <row r="37" spans="1:21" ht="15.75" thickBot="1" x14ac:dyDescent="0.3">
      <c r="A37" s="4" t="s">
        <v>136</v>
      </c>
      <c r="B37" s="2">
        <v>45435</v>
      </c>
      <c r="C37" s="1" t="s">
        <v>129</v>
      </c>
      <c r="D37" s="1" t="s">
        <v>130</v>
      </c>
      <c r="E37" s="1" t="s">
        <v>114</v>
      </c>
      <c r="F37" s="1" t="s">
        <v>115</v>
      </c>
      <c r="G37" s="39" t="s">
        <v>33</v>
      </c>
      <c r="H37" s="3">
        <v>3</v>
      </c>
      <c r="I37" s="3">
        <v>79.989999999999995</v>
      </c>
      <c r="J37" s="1" t="s">
        <v>20</v>
      </c>
      <c r="K37" s="1" t="s">
        <v>35</v>
      </c>
      <c r="L37" s="1" t="s">
        <v>22</v>
      </c>
      <c r="M37" s="2">
        <v>45046</v>
      </c>
      <c r="N37" s="43">
        <v>239.97</v>
      </c>
      <c r="O37" s="1" t="str">
        <f>TEXT(Sales_Data[[#This Row],[Date]],"mmm-yyyy")</f>
        <v>May-2024</v>
      </c>
      <c r="P37" s="1">
        <f>YEAR(Sales_Data[[#This Row],[Date]])</f>
        <v>2024</v>
      </c>
      <c r="Q37" s="13">
        <f t="shared" ca="1" si="0"/>
        <v>1241</v>
      </c>
      <c r="R37" s="1">
        <f t="shared" ca="1" si="1"/>
        <v>3</v>
      </c>
      <c r="S37" s="17">
        <f t="shared" si="2"/>
        <v>45443</v>
      </c>
      <c r="T37" s="1" t="str">
        <f t="shared" si="3"/>
        <v>Normal</v>
      </c>
      <c r="U37" s="20">
        <f t="shared" ca="1" si="4"/>
        <v>46287.029763888888</v>
      </c>
    </row>
    <row r="38" spans="1:21" ht="15.75" thickBot="1" x14ac:dyDescent="0.3">
      <c r="A38" s="4" t="s">
        <v>137</v>
      </c>
      <c r="B38" s="2">
        <v>45438</v>
      </c>
      <c r="C38" s="1" t="s">
        <v>138</v>
      </c>
      <c r="D38" s="1" t="s">
        <v>139</v>
      </c>
      <c r="E38" s="1" t="s">
        <v>126</v>
      </c>
      <c r="F38" s="1" t="s">
        <v>127</v>
      </c>
      <c r="G38" s="39" t="s">
        <v>46</v>
      </c>
      <c r="H38" s="3">
        <v>3</v>
      </c>
      <c r="I38" s="3">
        <v>199.99</v>
      </c>
      <c r="J38" s="1" t="s">
        <v>26</v>
      </c>
      <c r="K38" s="1" t="s">
        <v>40</v>
      </c>
      <c r="L38" s="1" t="s">
        <v>27</v>
      </c>
      <c r="M38" s="2">
        <v>45292</v>
      </c>
      <c r="N38" s="43">
        <v>599.97</v>
      </c>
      <c r="O38" s="1" t="str">
        <f>TEXT(Sales_Data[[#This Row],[Date]],"mmm-yyyy")</f>
        <v>May-2024</v>
      </c>
      <c r="P38" s="1">
        <f>YEAR(Sales_Data[[#This Row],[Date]])</f>
        <v>2024</v>
      </c>
      <c r="Q38" s="13">
        <f t="shared" ca="1" si="0"/>
        <v>995</v>
      </c>
      <c r="R38" s="1">
        <f t="shared" ca="1" si="1"/>
        <v>2</v>
      </c>
      <c r="S38" s="17">
        <f t="shared" si="2"/>
        <v>45443</v>
      </c>
      <c r="T38" s="1" t="str">
        <f t="shared" si="3"/>
        <v>Normal</v>
      </c>
      <c r="U38" s="20">
        <f t="shared" ca="1" si="4"/>
        <v>46287.029763888888</v>
      </c>
    </row>
    <row r="39" spans="1:21" ht="15.75" thickBot="1" x14ac:dyDescent="0.3">
      <c r="A39" s="4" t="s">
        <v>140</v>
      </c>
      <c r="B39" s="2">
        <v>45440</v>
      </c>
      <c r="C39" s="1" t="s">
        <v>141</v>
      </c>
      <c r="D39" s="1" t="s">
        <v>142</v>
      </c>
      <c r="E39" s="1" t="s">
        <v>80</v>
      </c>
      <c r="F39" s="1" t="s">
        <v>81</v>
      </c>
      <c r="G39" s="39" t="s">
        <v>19</v>
      </c>
      <c r="H39" s="3">
        <v>5</v>
      </c>
      <c r="I39" s="3">
        <v>699.99</v>
      </c>
      <c r="J39" s="1" t="s">
        <v>34</v>
      </c>
      <c r="K39" s="1" t="s">
        <v>50</v>
      </c>
      <c r="L39" s="1" t="s">
        <v>36</v>
      </c>
      <c r="M39" s="2">
        <v>44407</v>
      </c>
      <c r="N39" s="43">
        <v>3499.95</v>
      </c>
      <c r="O39" s="1" t="str">
        <f>TEXT(Sales_Data[[#This Row],[Date]],"mmm-yyyy")</f>
        <v>May-2024</v>
      </c>
      <c r="P39" s="1">
        <f>YEAR(Sales_Data[[#This Row],[Date]])</f>
        <v>2024</v>
      </c>
      <c r="Q39" s="13">
        <f t="shared" ca="1" si="0"/>
        <v>1880</v>
      </c>
      <c r="R39" s="1">
        <f t="shared" ca="1" si="1"/>
        <v>5</v>
      </c>
      <c r="S39" s="17">
        <f t="shared" si="2"/>
        <v>45443</v>
      </c>
      <c r="T39" s="1" t="str">
        <f t="shared" si="3"/>
        <v>High Value</v>
      </c>
      <c r="U39" s="20">
        <f t="shared" ca="1" si="4"/>
        <v>46287.029763888888</v>
      </c>
    </row>
    <row r="40" spans="1:21" ht="15.75" thickBot="1" x14ac:dyDescent="0.3">
      <c r="A40" s="4" t="s">
        <v>143</v>
      </c>
      <c r="B40" s="2">
        <v>45441</v>
      </c>
      <c r="C40" s="1" t="s">
        <v>144</v>
      </c>
      <c r="D40" s="1" t="s">
        <v>145</v>
      </c>
      <c r="E40" s="1" t="s">
        <v>117</v>
      </c>
      <c r="F40" s="1" t="s">
        <v>118</v>
      </c>
      <c r="G40" s="39" t="s">
        <v>19</v>
      </c>
      <c r="H40" s="3">
        <v>3</v>
      </c>
      <c r="I40" s="3">
        <v>89.99</v>
      </c>
      <c r="J40" s="1" t="s">
        <v>34</v>
      </c>
      <c r="K40" s="1" t="s">
        <v>21</v>
      </c>
      <c r="L40" s="1" t="s">
        <v>27</v>
      </c>
      <c r="M40" s="2">
        <v>45120</v>
      </c>
      <c r="N40" s="43">
        <v>269.97000000000003</v>
      </c>
      <c r="O40" s="1" t="str">
        <f>TEXT(Sales_Data[[#This Row],[Date]],"mmm-yyyy")</f>
        <v>May-2024</v>
      </c>
      <c r="P40" s="1">
        <f>YEAR(Sales_Data[[#This Row],[Date]])</f>
        <v>2024</v>
      </c>
      <c r="Q40" s="13">
        <f t="shared" ca="1" si="0"/>
        <v>1167</v>
      </c>
      <c r="R40" s="1">
        <f t="shared" ca="1" si="1"/>
        <v>3</v>
      </c>
      <c r="S40" s="17">
        <f t="shared" si="2"/>
        <v>45443</v>
      </c>
      <c r="T40" s="1" t="str">
        <f t="shared" si="3"/>
        <v>Normal</v>
      </c>
      <c r="U40" s="20">
        <f t="shared" ca="1" si="4"/>
        <v>46287.029763888888</v>
      </c>
    </row>
    <row r="41" spans="1:21" ht="15.75" thickBot="1" x14ac:dyDescent="0.3">
      <c r="A41" s="4" t="s">
        <v>146</v>
      </c>
      <c r="B41" s="2">
        <v>45443</v>
      </c>
      <c r="C41" s="1" t="s">
        <v>147</v>
      </c>
      <c r="D41" s="1" t="s">
        <v>148</v>
      </c>
      <c r="E41" s="1" t="s">
        <v>114</v>
      </c>
      <c r="F41" s="1" t="s">
        <v>115</v>
      </c>
      <c r="G41" s="39" t="s">
        <v>33</v>
      </c>
      <c r="H41" s="3">
        <v>1</v>
      </c>
      <c r="I41" s="3">
        <v>79.989999999999995</v>
      </c>
      <c r="J41" s="1" t="s">
        <v>20</v>
      </c>
      <c r="K41" s="1" t="s">
        <v>40</v>
      </c>
      <c r="L41" s="1" t="s">
        <v>36</v>
      </c>
      <c r="M41" s="2">
        <v>44917</v>
      </c>
      <c r="N41" s="43">
        <v>79.989999999999995</v>
      </c>
      <c r="O41" s="1" t="str">
        <f>TEXT(Sales_Data[[#This Row],[Date]],"mmm-yyyy")</f>
        <v>May-2024</v>
      </c>
      <c r="P41" s="1">
        <f>YEAR(Sales_Data[[#This Row],[Date]])</f>
        <v>2024</v>
      </c>
      <c r="Q41" s="13">
        <f t="shared" ca="1" si="0"/>
        <v>1370</v>
      </c>
      <c r="R41" s="1">
        <f t="shared" ca="1" si="1"/>
        <v>3</v>
      </c>
      <c r="S41" s="17">
        <f t="shared" si="2"/>
        <v>45443</v>
      </c>
      <c r="T41" s="1" t="str">
        <f t="shared" si="3"/>
        <v>Normal</v>
      </c>
      <c r="U41" s="20">
        <f t="shared" ca="1" si="4"/>
        <v>46287.029763888888</v>
      </c>
    </row>
    <row r="42" spans="1:21" ht="15.75" thickBot="1" x14ac:dyDescent="0.3">
      <c r="A42" s="4" t="s">
        <v>149</v>
      </c>
      <c r="B42" s="2">
        <v>45444</v>
      </c>
      <c r="C42" s="1" t="s">
        <v>150</v>
      </c>
      <c r="D42" s="1" t="s">
        <v>151</v>
      </c>
      <c r="E42" s="1" t="s">
        <v>31</v>
      </c>
      <c r="F42" s="1" t="s">
        <v>32</v>
      </c>
      <c r="G42" s="39" t="s">
        <v>33</v>
      </c>
      <c r="H42" s="3">
        <v>2</v>
      </c>
      <c r="I42" s="3">
        <v>59.99</v>
      </c>
      <c r="J42" s="1" t="s">
        <v>20</v>
      </c>
      <c r="K42" s="1" t="s">
        <v>50</v>
      </c>
      <c r="L42" s="1" t="s">
        <v>22</v>
      </c>
      <c r="M42" s="2">
        <v>45390</v>
      </c>
      <c r="N42" s="43">
        <v>119.98</v>
      </c>
      <c r="O42" s="1" t="str">
        <f>TEXT(Sales_Data[[#This Row],[Date]],"mmm-yyyy")</f>
        <v>Jun-2024</v>
      </c>
      <c r="P42" s="1">
        <f>YEAR(Sales_Data[[#This Row],[Date]])</f>
        <v>2024</v>
      </c>
      <c r="Q42" s="13">
        <f t="shared" ca="1" si="0"/>
        <v>897</v>
      </c>
      <c r="R42" s="1">
        <f t="shared" ca="1" si="1"/>
        <v>2</v>
      </c>
      <c r="S42" s="17">
        <f t="shared" si="2"/>
        <v>45473</v>
      </c>
      <c r="T42" s="1" t="str">
        <f t="shared" si="3"/>
        <v>Normal</v>
      </c>
      <c r="U42" s="20">
        <f t="shared" ca="1" si="4"/>
        <v>46287.029763888888</v>
      </c>
    </row>
    <row r="43" spans="1:21" ht="15.75" thickBot="1" x14ac:dyDescent="0.3">
      <c r="A43" s="4" t="s">
        <v>152</v>
      </c>
      <c r="B43" s="2">
        <v>45444</v>
      </c>
      <c r="C43" s="1" t="s">
        <v>55</v>
      </c>
      <c r="D43" s="1" t="s">
        <v>56</v>
      </c>
      <c r="E43" s="1" t="s">
        <v>117</v>
      </c>
      <c r="F43" s="1" t="s">
        <v>118</v>
      </c>
      <c r="G43" s="39" t="s">
        <v>19</v>
      </c>
      <c r="H43" s="3">
        <v>1</v>
      </c>
      <c r="I43" s="3">
        <v>89.99</v>
      </c>
      <c r="J43" s="1" t="s">
        <v>20</v>
      </c>
      <c r="K43" s="1" t="s">
        <v>40</v>
      </c>
      <c r="L43" s="1" t="s">
        <v>22</v>
      </c>
      <c r="M43" s="2">
        <v>45141</v>
      </c>
      <c r="N43" s="43">
        <v>89.99</v>
      </c>
      <c r="O43" s="1" t="str">
        <f>TEXT(Sales_Data[[#This Row],[Date]],"mmm-yyyy")</f>
        <v>Jun-2024</v>
      </c>
      <c r="P43" s="1">
        <f>YEAR(Sales_Data[[#This Row],[Date]])</f>
        <v>2024</v>
      </c>
      <c r="Q43" s="13">
        <f t="shared" ca="1" si="0"/>
        <v>1146</v>
      </c>
      <c r="R43" s="1">
        <f t="shared" ca="1" si="1"/>
        <v>3</v>
      </c>
      <c r="S43" s="17">
        <f t="shared" si="2"/>
        <v>45473</v>
      </c>
      <c r="T43" s="1" t="str">
        <f t="shared" si="3"/>
        <v>Normal</v>
      </c>
      <c r="U43" s="20">
        <f t="shared" ca="1" si="4"/>
        <v>46287.029763888888</v>
      </c>
    </row>
    <row r="44" spans="1:21" ht="15.75" thickBot="1" x14ac:dyDescent="0.3">
      <c r="A44" s="4" t="s">
        <v>153</v>
      </c>
      <c r="B44" s="2">
        <v>45446</v>
      </c>
      <c r="C44" s="1" t="s">
        <v>154</v>
      </c>
      <c r="D44" s="1" t="s">
        <v>155</v>
      </c>
      <c r="E44" s="1" t="s">
        <v>117</v>
      </c>
      <c r="F44" s="1" t="s">
        <v>118</v>
      </c>
      <c r="G44" s="39" t="s">
        <v>19</v>
      </c>
      <c r="H44" s="3">
        <v>5</v>
      </c>
      <c r="I44" s="3">
        <v>89.99</v>
      </c>
      <c r="J44" s="1" t="s">
        <v>26</v>
      </c>
      <c r="K44" s="1" t="s">
        <v>63</v>
      </c>
      <c r="L44" s="1" t="s">
        <v>36</v>
      </c>
      <c r="M44" s="2">
        <v>44587</v>
      </c>
      <c r="N44" s="43">
        <v>449.95</v>
      </c>
      <c r="O44" s="1" t="str">
        <f>TEXT(Sales_Data[[#This Row],[Date]],"mmm-yyyy")</f>
        <v>Jun-2024</v>
      </c>
      <c r="P44" s="1">
        <f>YEAR(Sales_Data[[#This Row],[Date]])</f>
        <v>2024</v>
      </c>
      <c r="Q44" s="13">
        <f t="shared" ca="1" si="0"/>
        <v>1700</v>
      </c>
      <c r="R44" s="1">
        <f t="shared" ca="1" si="1"/>
        <v>4</v>
      </c>
      <c r="S44" s="17">
        <f t="shared" si="2"/>
        <v>45473</v>
      </c>
      <c r="T44" s="1" t="str">
        <f t="shared" si="3"/>
        <v>Normal</v>
      </c>
      <c r="U44" s="20">
        <f t="shared" ca="1" si="4"/>
        <v>46287.029763888888</v>
      </c>
    </row>
    <row r="45" spans="1:21" ht="15.75" thickBot="1" x14ac:dyDescent="0.3">
      <c r="A45" s="4" t="s">
        <v>156</v>
      </c>
      <c r="B45" s="2">
        <v>45449</v>
      </c>
      <c r="C45" s="1" t="s">
        <v>24</v>
      </c>
      <c r="D45" s="1" t="s">
        <v>25</v>
      </c>
      <c r="E45" s="1" t="s">
        <v>17</v>
      </c>
      <c r="F45" s="1" t="s">
        <v>18</v>
      </c>
      <c r="G45" s="39" t="s">
        <v>19</v>
      </c>
      <c r="H45" s="3">
        <v>5</v>
      </c>
      <c r="I45" s="3">
        <v>249.99</v>
      </c>
      <c r="J45" s="1" t="s">
        <v>26</v>
      </c>
      <c r="K45" s="1" t="s">
        <v>63</v>
      </c>
      <c r="L45" s="1" t="s">
        <v>36</v>
      </c>
      <c r="M45" s="2">
        <v>44707</v>
      </c>
      <c r="N45" s="43">
        <v>1249.95</v>
      </c>
      <c r="O45" s="1" t="str">
        <f>TEXT(Sales_Data[[#This Row],[Date]],"mmm-yyyy")</f>
        <v>Jun-2024</v>
      </c>
      <c r="P45" s="1">
        <f>YEAR(Sales_Data[[#This Row],[Date]])</f>
        <v>2024</v>
      </c>
      <c r="Q45" s="13">
        <f t="shared" ca="1" si="0"/>
        <v>1580</v>
      </c>
      <c r="R45" s="1">
        <f t="shared" ca="1" si="1"/>
        <v>4</v>
      </c>
      <c r="S45" s="17">
        <f t="shared" si="2"/>
        <v>45473</v>
      </c>
      <c r="T45" s="1" t="str">
        <f t="shared" si="3"/>
        <v>High Value</v>
      </c>
      <c r="U45" s="20">
        <f t="shared" ca="1" si="4"/>
        <v>46287.029763888888</v>
      </c>
    </row>
    <row r="46" spans="1:21" ht="15.75" thickBot="1" x14ac:dyDescent="0.3">
      <c r="A46" s="4" t="s">
        <v>157</v>
      </c>
      <c r="B46" s="2">
        <v>45449</v>
      </c>
      <c r="C46" s="1" t="s">
        <v>158</v>
      </c>
      <c r="D46" s="1" t="s">
        <v>159</v>
      </c>
      <c r="E46" s="1" t="s">
        <v>117</v>
      </c>
      <c r="F46" s="1" t="s">
        <v>118</v>
      </c>
      <c r="G46" s="39" t="s">
        <v>19</v>
      </c>
      <c r="H46" s="3">
        <v>1</v>
      </c>
      <c r="I46" s="3">
        <v>89.99</v>
      </c>
      <c r="J46" s="1" t="s">
        <v>26</v>
      </c>
      <c r="K46" s="1" t="s">
        <v>35</v>
      </c>
      <c r="L46" s="1" t="s">
        <v>36</v>
      </c>
      <c r="M46" s="2">
        <v>44582</v>
      </c>
      <c r="N46" s="43">
        <v>89.99</v>
      </c>
      <c r="O46" s="1" t="str">
        <f>TEXT(Sales_Data[[#This Row],[Date]],"mmm-yyyy")</f>
        <v>Jun-2024</v>
      </c>
      <c r="P46" s="1">
        <f>YEAR(Sales_Data[[#This Row],[Date]])</f>
        <v>2024</v>
      </c>
      <c r="Q46" s="13">
        <f t="shared" ca="1" si="0"/>
        <v>1705</v>
      </c>
      <c r="R46" s="1">
        <f t="shared" ca="1" si="1"/>
        <v>4</v>
      </c>
      <c r="S46" s="17">
        <f t="shared" si="2"/>
        <v>45473</v>
      </c>
      <c r="T46" s="1" t="str">
        <f t="shared" si="3"/>
        <v>Normal</v>
      </c>
      <c r="U46" s="20">
        <f t="shared" ca="1" si="4"/>
        <v>46287.029763888888</v>
      </c>
    </row>
    <row r="47" spans="1:21" ht="15.75" thickBot="1" x14ac:dyDescent="0.3">
      <c r="A47" s="4" t="s">
        <v>160</v>
      </c>
      <c r="B47" s="2">
        <v>45450</v>
      </c>
      <c r="C47" s="1" t="s">
        <v>42</v>
      </c>
      <c r="D47" s="1" t="s">
        <v>43</v>
      </c>
      <c r="E47" s="1" t="s">
        <v>44</v>
      </c>
      <c r="F47" s="1" t="s">
        <v>45</v>
      </c>
      <c r="G47" s="39" t="s">
        <v>46</v>
      </c>
      <c r="H47" s="3">
        <v>2</v>
      </c>
      <c r="I47" s="3">
        <v>149.99</v>
      </c>
      <c r="J47" s="1" t="s">
        <v>20</v>
      </c>
      <c r="K47" s="1" t="s">
        <v>63</v>
      </c>
      <c r="L47" s="1" t="s">
        <v>27</v>
      </c>
      <c r="M47" s="2">
        <v>44645</v>
      </c>
      <c r="N47" s="43">
        <v>299.98</v>
      </c>
      <c r="O47" s="1" t="str">
        <f>TEXT(Sales_Data[[#This Row],[Date]],"mmm-yyyy")</f>
        <v>Jun-2024</v>
      </c>
      <c r="P47" s="1">
        <f>YEAR(Sales_Data[[#This Row],[Date]])</f>
        <v>2024</v>
      </c>
      <c r="Q47" s="13">
        <f t="shared" ca="1" si="0"/>
        <v>1642</v>
      </c>
      <c r="R47" s="1">
        <f t="shared" ca="1" si="1"/>
        <v>4</v>
      </c>
      <c r="S47" s="17">
        <f t="shared" si="2"/>
        <v>45473</v>
      </c>
      <c r="T47" s="1" t="str">
        <f t="shared" si="3"/>
        <v>Normal</v>
      </c>
      <c r="U47" s="20">
        <f t="shared" ca="1" si="4"/>
        <v>46287.029763888888</v>
      </c>
    </row>
    <row r="48" spans="1:21" ht="15.75" thickBot="1" x14ac:dyDescent="0.3">
      <c r="A48" s="4" t="s">
        <v>161</v>
      </c>
      <c r="B48" s="2">
        <v>45452</v>
      </c>
      <c r="C48" s="1" t="s">
        <v>162</v>
      </c>
      <c r="D48" s="1" t="s">
        <v>163</v>
      </c>
      <c r="E48" s="1" t="s">
        <v>31</v>
      </c>
      <c r="F48" s="1" t="s">
        <v>32</v>
      </c>
      <c r="G48" s="39" t="s">
        <v>33</v>
      </c>
      <c r="H48" s="3">
        <v>4</v>
      </c>
      <c r="I48" s="3">
        <v>59.99</v>
      </c>
      <c r="J48" s="1" t="s">
        <v>20</v>
      </c>
      <c r="K48" s="1" t="s">
        <v>63</v>
      </c>
      <c r="L48" s="1" t="s">
        <v>36</v>
      </c>
      <c r="M48" s="2">
        <v>44435</v>
      </c>
      <c r="N48" s="43">
        <v>239.96</v>
      </c>
      <c r="O48" s="1" t="str">
        <f>TEXT(Sales_Data[[#This Row],[Date]],"mmm-yyyy")</f>
        <v>Jun-2024</v>
      </c>
      <c r="P48" s="1">
        <f>YEAR(Sales_Data[[#This Row],[Date]])</f>
        <v>2024</v>
      </c>
      <c r="Q48" s="13">
        <f t="shared" ca="1" si="0"/>
        <v>1852</v>
      </c>
      <c r="R48" s="1">
        <f t="shared" ca="1" si="1"/>
        <v>5</v>
      </c>
      <c r="S48" s="17">
        <f t="shared" si="2"/>
        <v>45473</v>
      </c>
      <c r="T48" s="1" t="str">
        <f t="shared" si="3"/>
        <v>Normal</v>
      </c>
      <c r="U48" s="20">
        <f t="shared" ca="1" si="4"/>
        <v>46287.029763888888</v>
      </c>
    </row>
    <row r="49" spans="1:21" ht="15.75" thickBot="1" x14ac:dyDescent="0.3">
      <c r="A49" s="4" t="s">
        <v>164</v>
      </c>
      <c r="B49" s="2">
        <v>45456</v>
      </c>
      <c r="C49" s="1" t="s">
        <v>129</v>
      </c>
      <c r="D49" s="1" t="s">
        <v>130</v>
      </c>
      <c r="E49" s="1" t="s">
        <v>117</v>
      </c>
      <c r="F49" s="1" t="s">
        <v>118</v>
      </c>
      <c r="G49" s="39" t="s">
        <v>19</v>
      </c>
      <c r="H49" s="3">
        <v>5</v>
      </c>
      <c r="I49" s="3">
        <v>89.99</v>
      </c>
      <c r="J49" s="1" t="s">
        <v>20</v>
      </c>
      <c r="K49" s="1" t="s">
        <v>21</v>
      </c>
      <c r="L49" s="1" t="s">
        <v>27</v>
      </c>
      <c r="M49" s="2">
        <v>44579</v>
      </c>
      <c r="N49" s="43">
        <v>449.95</v>
      </c>
      <c r="O49" s="1" t="str">
        <f>TEXT(Sales_Data[[#This Row],[Date]],"mmm-yyyy")</f>
        <v>Jun-2024</v>
      </c>
      <c r="P49" s="1">
        <f>YEAR(Sales_Data[[#This Row],[Date]])</f>
        <v>2024</v>
      </c>
      <c r="Q49" s="13">
        <f t="shared" ca="1" si="0"/>
        <v>1708</v>
      </c>
      <c r="R49" s="1">
        <f t="shared" ca="1" si="1"/>
        <v>4</v>
      </c>
      <c r="S49" s="17">
        <f t="shared" si="2"/>
        <v>45473</v>
      </c>
      <c r="T49" s="1" t="str">
        <f t="shared" si="3"/>
        <v>Normal</v>
      </c>
      <c r="U49" s="20">
        <f t="shared" ca="1" si="4"/>
        <v>46287.029763888888</v>
      </c>
    </row>
    <row r="50" spans="1:21" ht="15.75" thickBot="1" x14ac:dyDescent="0.3">
      <c r="A50" s="4" t="s">
        <v>165</v>
      </c>
      <c r="B50" s="2">
        <v>45459</v>
      </c>
      <c r="C50" s="1" t="s">
        <v>99</v>
      </c>
      <c r="D50" s="1" t="s">
        <v>100</v>
      </c>
      <c r="E50" s="1" t="s">
        <v>117</v>
      </c>
      <c r="F50" s="1" t="s">
        <v>118</v>
      </c>
      <c r="G50" s="39" t="s">
        <v>19</v>
      </c>
      <c r="H50" s="3">
        <v>2</v>
      </c>
      <c r="I50" s="3">
        <v>89.99</v>
      </c>
      <c r="J50" s="1" t="s">
        <v>26</v>
      </c>
      <c r="K50" s="1" t="s">
        <v>35</v>
      </c>
      <c r="L50" s="1" t="s">
        <v>27</v>
      </c>
      <c r="M50" s="2">
        <v>44471</v>
      </c>
      <c r="N50" s="43">
        <v>179.98</v>
      </c>
      <c r="O50" s="1" t="str">
        <f>TEXT(Sales_Data[[#This Row],[Date]],"mmm-yyyy")</f>
        <v>Jun-2024</v>
      </c>
      <c r="P50" s="1">
        <f>YEAR(Sales_Data[[#This Row],[Date]])</f>
        <v>2024</v>
      </c>
      <c r="Q50" s="13">
        <f t="shared" ca="1" si="0"/>
        <v>1816</v>
      </c>
      <c r="R50" s="1">
        <f t="shared" ca="1" si="1"/>
        <v>4</v>
      </c>
      <c r="S50" s="17">
        <f t="shared" si="2"/>
        <v>45473</v>
      </c>
      <c r="T50" s="1" t="str">
        <f t="shared" si="3"/>
        <v>Normal</v>
      </c>
      <c r="U50" s="20">
        <f t="shared" ca="1" si="4"/>
        <v>46287.029763888888</v>
      </c>
    </row>
    <row r="51" spans="1:21" ht="15.75" thickBot="1" x14ac:dyDescent="0.3">
      <c r="A51" s="4" t="s">
        <v>166</v>
      </c>
      <c r="B51" s="2">
        <v>45459</v>
      </c>
      <c r="C51" s="1" t="s">
        <v>15</v>
      </c>
      <c r="D51" s="1" t="s">
        <v>16</v>
      </c>
      <c r="E51" s="1" t="s">
        <v>61</v>
      </c>
      <c r="F51" s="1" t="s">
        <v>62</v>
      </c>
      <c r="G51" s="39" t="s">
        <v>19</v>
      </c>
      <c r="H51" s="3">
        <v>5</v>
      </c>
      <c r="I51" s="3">
        <v>899.99</v>
      </c>
      <c r="J51" s="1" t="s">
        <v>26</v>
      </c>
      <c r="K51" s="1" t="s">
        <v>35</v>
      </c>
      <c r="L51" s="1" t="s">
        <v>36</v>
      </c>
      <c r="M51" s="2">
        <v>44974</v>
      </c>
      <c r="N51" s="43">
        <v>4499.95</v>
      </c>
      <c r="O51" s="1" t="str">
        <f>TEXT(Sales_Data[[#This Row],[Date]],"mmm-yyyy")</f>
        <v>Jun-2024</v>
      </c>
      <c r="P51" s="1">
        <f>YEAR(Sales_Data[[#This Row],[Date]])</f>
        <v>2024</v>
      </c>
      <c r="Q51" s="13">
        <f t="shared" ca="1" si="0"/>
        <v>1313</v>
      </c>
      <c r="R51" s="1">
        <f t="shared" ca="1" si="1"/>
        <v>3</v>
      </c>
      <c r="S51" s="17">
        <f t="shared" si="2"/>
        <v>45473</v>
      </c>
      <c r="T51" s="1" t="str">
        <f t="shared" si="3"/>
        <v>High Value</v>
      </c>
      <c r="U51" s="20">
        <f t="shared" ca="1" si="4"/>
        <v>46287.029763888888</v>
      </c>
    </row>
    <row r="52" spans="1:21" ht="15.75" thickBot="1" x14ac:dyDescent="0.3">
      <c r="A52" s="4" t="s">
        <v>167</v>
      </c>
      <c r="B52" s="2">
        <v>45459</v>
      </c>
      <c r="C52" s="1" t="s">
        <v>123</v>
      </c>
      <c r="D52" s="1" t="s">
        <v>124</v>
      </c>
      <c r="E52" s="1" t="s">
        <v>61</v>
      </c>
      <c r="F52" s="1" t="s">
        <v>62</v>
      </c>
      <c r="G52" s="39" t="s">
        <v>19</v>
      </c>
      <c r="H52" s="3">
        <v>5</v>
      </c>
      <c r="I52" s="3">
        <v>899.99</v>
      </c>
      <c r="J52" s="1" t="s">
        <v>34</v>
      </c>
      <c r="K52" s="1" t="s">
        <v>63</v>
      </c>
      <c r="L52" s="1" t="s">
        <v>27</v>
      </c>
      <c r="M52" s="2">
        <v>45278</v>
      </c>
      <c r="N52" s="43">
        <v>4499.95</v>
      </c>
      <c r="O52" s="1" t="str">
        <f>TEXT(Sales_Data[[#This Row],[Date]],"mmm-yyyy")</f>
        <v>Jun-2024</v>
      </c>
      <c r="P52" s="1">
        <f>YEAR(Sales_Data[[#This Row],[Date]])</f>
        <v>2024</v>
      </c>
      <c r="Q52" s="13">
        <f t="shared" ca="1" si="0"/>
        <v>1009</v>
      </c>
      <c r="R52" s="1">
        <f t="shared" ca="1" si="1"/>
        <v>2</v>
      </c>
      <c r="S52" s="17">
        <f t="shared" si="2"/>
        <v>45473</v>
      </c>
      <c r="T52" s="1" t="str">
        <f t="shared" si="3"/>
        <v>High Value</v>
      </c>
      <c r="U52" s="20">
        <f t="shared" ca="1" si="4"/>
        <v>46287.029763888888</v>
      </c>
    </row>
    <row r="53" spans="1:21" ht="15.75" thickBot="1" x14ac:dyDescent="0.3">
      <c r="A53" s="4" t="s">
        <v>168</v>
      </c>
      <c r="B53" s="2">
        <v>45460</v>
      </c>
      <c r="C53" s="1" t="s">
        <v>158</v>
      </c>
      <c r="D53" s="1" t="s">
        <v>159</v>
      </c>
      <c r="E53" s="1" t="s">
        <v>31</v>
      </c>
      <c r="F53" s="1" t="s">
        <v>32</v>
      </c>
      <c r="G53" s="39" t="s">
        <v>33</v>
      </c>
      <c r="H53" s="3">
        <v>1</v>
      </c>
      <c r="I53" s="3">
        <v>59.99</v>
      </c>
      <c r="J53" s="1" t="s">
        <v>57</v>
      </c>
      <c r="K53" s="1" t="s">
        <v>50</v>
      </c>
      <c r="L53" s="1" t="s">
        <v>27</v>
      </c>
      <c r="M53" s="2">
        <v>45190</v>
      </c>
      <c r="N53" s="43">
        <v>59.99</v>
      </c>
      <c r="O53" s="1" t="str">
        <f>TEXT(Sales_Data[[#This Row],[Date]],"mmm-yyyy")</f>
        <v>Jun-2024</v>
      </c>
      <c r="P53" s="1">
        <f>YEAR(Sales_Data[[#This Row],[Date]])</f>
        <v>2024</v>
      </c>
      <c r="Q53" s="13">
        <f t="shared" ca="1" si="0"/>
        <v>1097</v>
      </c>
      <c r="R53" s="1">
        <f t="shared" ca="1" si="1"/>
        <v>3</v>
      </c>
      <c r="S53" s="17">
        <f t="shared" si="2"/>
        <v>45473</v>
      </c>
      <c r="T53" s="1" t="str">
        <f t="shared" si="3"/>
        <v>Normal</v>
      </c>
      <c r="U53" s="20">
        <f t="shared" ca="1" si="4"/>
        <v>46287.029763888888</v>
      </c>
    </row>
    <row r="54" spans="1:21" ht="15.75" thickBot="1" x14ac:dyDescent="0.3">
      <c r="A54" s="4" t="s">
        <v>169</v>
      </c>
      <c r="B54" s="2">
        <v>45460</v>
      </c>
      <c r="C54" s="1" t="s">
        <v>141</v>
      </c>
      <c r="D54" s="1" t="s">
        <v>142</v>
      </c>
      <c r="E54" s="1" t="s">
        <v>105</v>
      </c>
      <c r="F54" s="1" t="s">
        <v>106</v>
      </c>
      <c r="G54" s="39" t="s">
        <v>46</v>
      </c>
      <c r="H54" s="3">
        <v>2</v>
      </c>
      <c r="I54" s="3">
        <v>299.99</v>
      </c>
      <c r="J54" s="1" t="s">
        <v>57</v>
      </c>
      <c r="K54" s="1" t="s">
        <v>63</v>
      </c>
      <c r="L54" s="1" t="s">
        <v>36</v>
      </c>
      <c r="M54" s="2">
        <v>45253</v>
      </c>
      <c r="N54" s="43">
        <v>599.98</v>
      </c>
      <c r="O54" s="1" t="str">
        <f>TEXT(Sales_Data[[#This Row],[Date]],"mmm-yyyy")</f>
        <v>Jun-2024</v>
      </c>
      <c r="P54" s="1">
        <f>YEAR(Sales_Data[[#This Row],[Date]])</f>
        <v>2024</v>
      </c>
      <c r="Q54" s="13">
        <f t="shared" ca="1" si="0"/>
        <v>1034</v>
      </c>
      <c r="R54" s="1">
        <f t="shared" ca="1" si="1"/>
        <v>2</v>
      </c>
      <c r="S54" s="17">
        <f t="shared" si="2"/>
        <v>45473</v>
      </c>
      <c r="T54" s="1" t="str">
        <f t="shared" si="3"/>
        <v>Normal</v>
      </c>
      <c r="U54" s="20">
        <f t="shared" ca="1" si="4"/>
        <v>46287.029763888888</v>
      </c>
    </row>
    <row r="55" spans="1:21" ht="15.75" thickBot="1" x14ac:dyDescent="0.3">
      <c r="A55" s="4" t="s">
        <v>170</v>
      </c>
      <c r="B55" s="2">
        <v>45468</v>
      </c>
      <c r="C55" s="1" t="s">
        <v>171</v>
      </c>
      <c r="D55" s="1" t="s">
        <v>172</v>
      </c>
      <c r="E55" s="1" t="s">
        <v>117</v>
      </c>
      <c r="F55" s="1" t="s">
        <v>118</v>
      </c>
      <c r="G55" s="39" t="s">
        <v>19</v>
      </c>
      <c r="H55" s="3">
        <v>4</v>
      </c>
      <c r="I55" s="3">
        <v>89.99</v>
      </c>
      <c r="J55" s="1" t="s">
        <v>57</v>
      </c>
      <c r="K55" s="1" t="s">
        <v>35</v>
      </c>
      <c r="L55" s="1" t="s">
        <v>22</v>
      </c>
      <c r="M55" s="2">
        <v>45281</v>
      </c>
      <c r="N55" s="43">
        <v>359.96</v>
      </c>
      <c r="O55" s="1" t="str">
        <f>TEXT(Sales_Data[[#This Row],[Date]],"mmm-yyyy")</f>
        <v>Jun-2024</v>
      </c>
      <c r="P55" s="1">
        <f>YEAR(Sales_Data[[#This Row],[Date]])</f>
        <v>2024</v>
      </c>
      <c r="Q55" s="13">
        <f t="shared" ca="1" si="0"/>
        <v>1006</v>
      </c>
      <c r="R55" s="1">
        <f t="shared" ca="1" si="1"/>
        <v>2</v>
      </c>
      <c r="S55" s="17">
        <f t="shared" si="2"/>
        <v>45473</v>
      </c>
      <c r="T55" s="1" t="str">
        <f t="shared" si="3"/>
        <v>Normal</v>
      </c>
      <c r="U55" s="20">
        <f t="shared" ca="1" si="4"/>
        <v>46287.029763888888</v>
      </c>
    </row>
    <row r="56" spans="1:21" ht="15.75" thickBot="1" x14ac:dyDescent="0.3">
      <c r="A56" s="4" t="s">
        <v>173</v>
      </c>
      <c r="B56" s="2">
        <v>45469</v>
      </c>
      <c r="C56" s="1" t="s">
        <v>29</v>
      </c>
      <c r="D56" s="1" t="s">
        <v>30</v>
      </c>
      <c r="E56" s="1" t="s">
        <v>114</v>
      </c>
      <c r="F56" s="1" t="s">
        <v>115</v>
      </c>
      <c r="G56" s="39" t="s">
        <v>33</v>
      </c>
      <c r="H56" s="3">
        <v>1</v>
      </c>
      <c r="I56" s="3">
        <v>79.989999999999995</v>
      </c>
      <c r="J56" s="1" t="s">
        <v>34</v>
      </c>
      <c r="K56" s="1" t="s">
        <v>21</v>
      </c>
      <c r="L56" s="1" t="s">
        <v>27</v>
      </c>
      <c r="M56" s="2">
        <v>45352</v>
      </c>
      <c r="N56" s="43">
        <v>79.989999999999995</v>
      </c>
      <c r="O56" s="1" t="str">
        <f>TEXT(Sales_Data[[#This Row],[Date]],"mmm-yyyy")</f>
        <v>Jun-2024</v>
      </c>
      <c r="P56" s="1">
        <f>YEAR(Sales_Data[[#This Row],[Date]])</f>
        <v>2024</v>
      </c>
      <c r="Q56" s="13">
        <f t="shared" ca="1" si="0"/>
        <v>935</v>
      </c>
      <c r="R56" s="1">
        <f t="shared" ca="1" si="1"/>
        <v>2</v>
      </c>
      <c r="S56" s="17">
        <f t="shared" si="2"/>
        <v>45473</v>
      </c>
      <c r="T56" s="1" t="str">
        <f t="shared" si="3"/>
        <v>Normal</v>
      </c>
      <c r="U56" s="20">
        <f t="shared" ca="1" si="4"/>
        <v>46287.029763888888</v>
      </c>
    </row>
    <row r="57" spans="1:21" ht="15.75" thickBot="1" x14ac:dyDescent="0.3">
      <c r="A57" s="4" t="s">
        <v>174</v>
      </c>
      <c r="B57" s="2">
        <v>45469</v>
      </c>
      <c r="C57" s="1" t="s">
        <v>59</v>
      </c>
      <c r="D57" s="1" t="s">
        <v>60</v>
      </c>
      <c r="E57" s="1" t="s">
        <v>117</v>
      </c>
      <c r="F57" s="1" t="s">
        <v>118</v>
      </c>
      <c r="G57" s="39" t="s">
        <v>19</v>
      </c>
      <c r="H57" s="3">
        <v>2</v>
      </c>
      <c r="I57" s="3">
        <v>89.99</v>
      </c>
      <c r="J57" s="1" t="s">
        <v>20</v>
      </c>
      <c r="K57" s="1" t="s">
        <v>50</v>
      </c>
      <c r="L57" s="1" t="s">
        <v>22</v>
      </c>
      <c r="M57" s="2">
        <v>44438</v>
      </c>
      <c r="N57" s="43">
        <v>179.98</v>
      </c>
      <c r="O57" s="1" t="str">
        <f>TEXT(Sales_Data[[#This Row],[Date]],"mmm-yyyy")</f>
        <v>Jun-2024</v>
      </c>
      <c r="P57" s="1">
        <f>YEAR(Sales_Data[[#This Row],[Date]])</f>
        <v>2024</v>
      </c>
      <c r="Q57" s="13">
        <f t="shared" ca="1" si="0"/>
        <v>1849</v>
      </c>
      <c r="R57" s="1">
        <f t="shared" ca="1" si="1"/>
        <v>5</v>
      </c>
      <c r="S57" s="17">
        <f t="shared" si="2"/>
        <v>45473</v>
      </c>
      <c r="T57" s="1" t="str">
        <f t="shared" si="3"/>
        <v>Normal</v>
      </c>
      <c r="U57" s="20">
        <f t="shared" ca="1" si="4"/>
        <v>46287.029763888888</v>
      </c>
    </row>
    <row r="58" spans="1:21" ht="15.75" thickBot="1" x14ac:dyDescent="0.3">
      <c r="A58" s="4" t="s">
        <v>175</v>
      </c>
      <c r="B58" s="2">
        <v>45471</v>
      </c>
      <c r="C58" s="1" t="s">
        <v>38</v>
      </c>
      <c r="D58" s="1" t="s">
        <v>39</v>
      </c>
      <c r="E58" s="1" t="s">
        <v>80</v>
      </c>
      <c r="F58" s="1" t="s">
        <v>81</v>
      </c>
      <c r="G58" s="39" t="s">
        <v>19</v>
      </c>
      <c r="H58" s="3">
        <v>3</v>
      </c>
      <c r="I58" s="3">
        <v>699.99</v>
      </c>
      <c r="J58" s="1" t="s">
        <v>26</v>
      </c>
      <c r="K58" s="1" t="s">
        <v>63</v>
      </c>
      <c r="L58" s="1" t="s">
        <v>27</v>
      </c>
      <c r="M58" s="2">
        <v>45102</v>
      </c>
      <c r="N58" s="43">
        <v>2099.9699999999998</v>
      </c>
      <c r="O58" s="1" t="str">
        <f>TEXT(Sales_Data[[#This Row],[Date]],"mmm-yyyy")</f>
        <v>Jun-2024</v>
      </c>
      <c r="P58" s="1">
        <f>YEAR(Sales_Data[[#This Row],[Date]])</f>
        <v>2024</v>
      </c>
      <c r="Q58" s="13">
        <f t="shared" ca="1" si="0"/>
        <v>1185</v>
      </c>
      <c r="R58" s="1">
        <f t="shared" ca="1" si="1"/>
        <v>3</v>
      </c>
      <c r="S58" s="17">
        <f t="shared" si="2"/>
        <v>45473</v>
      </c>
      <c r="T58" s="1" t="str">
        <f t="shared" si="3"/>
        <v>High Value</v>
      </c>
      <c r="U58" s="20">
        <f t="shared" ca="1" si="4"/>
        <v>46287.029763888888</v>
      </c>
    </row>
    <row r="59" spans="1:21" ht="15.75" thickBot="1" x14ac:dyDescent="0.3">
      <c r="A59" s="4" t="s">
        <v>176</v>
      </c>
      <c r="B59" s="2">
        <v>45471</v>
      </c>
      <c r="C59" s="1" t="s">
        <v>99</v>
      </c>
      <c r="D59" s="1" t="s">
        <v>100</v>
      </c>
      <c r="E59" s="1" t="s">
        <v>61</v>
      </c>
      <c r="F59" s="1" t="s">
        <v>62</v>
      </c>
      <c r="G59" s="39" t="s">
        <v>19</v>
      </c>
      <c r="H59" s="3">
        <v>4</v>
      </c>
      <c r="I59" s="3">
        <v>899.99</v>
      </c>
      <c r="J59" s="1" t="s">
        <v>26</v>
      </c>
      <c r="K59" s="1" t="s">
        <v>63</v>
      </c>
      <c r="L59" s="1" t="s">
        <v>27</v>
      </c>
      <c r="M59" s="2">
        <v>44993</v>
      </c>
      <c r="N59" s="43">
        <v>3599.96</v>
      </c>
      <c r="O59" s="1" t="str">
        <f>TEXT(Sales_Data[[#This Row],[Date]],"mmm-yyyy")</f>
        <v>Jun-2024</v>
      </c>
      <c r="P59" s="1">
        <f>YEAR(Sales_Data[[#This Row],[Date]])</f>
        <v>2024</v>
      </c>
      <c r="Q59" s="13">
        <f t="shared" ca="1" si="0"/>
        <v>1294</v>
      </c>
      <c r="R59" s="1">
        <f t="shared" ca="1" si="1"/>
        <v>3</v>
      </c>
      <c r="S59" s="17">
        <f t="shared" si="2"/>
        <v>45473</v>
      </c>
      <c r="T59" s="1" t="str">
        <f t="shared" si="3"/>
        <v>High Value</v>
      </c>
      <c r="U59" s="20">
        <f t="shared" ca="1" si="4"/>
        <v>46287.029763888888</v>
      </c>
    </row>
    <row r="60" spans="1:21" ht="15.75" thickBot="1" x14ac:dyDescent="0.3">
      <c r="A60" s="4" t="s">
        <v>177</v>
      </c>
      <c r="B60" s="2">
        <v>45472</v>
      </c>
      <c r="C60" s="1" t="s">
        <v>120</v>
      </c>
      <c r="D60" s="1" t="s">
        <v>121</v>
      </c>
      <c r="E60" s="1" t="s">
        <v>44</v>
      </c>
      <c r="F60" s="1" t="s">
        <v>45</v>
      </c>
      <c r="G60" s="39" t="s">
        <v>46</v>
      </c>
      <c r="H60" s="3">
        <v>1</v>
      </c>
      <c r="I60" s="3">
        <v>149.99</v>
      </c>
      <c r="J60" s="1" t="s">
        <v>34</v>
      </c>
      <c r="K60" s="1" t="s">
        <v>63</v>
      </c>
      <c r="L60" s="1" t="s">
        <v>22</v>
      </c>
      <c r="M60" s="2">
        <v>44851</v>
      </c>
      <c r="N60" s="43">
        <v>149.99</v>
      </c>
      <c r="O60" s="1" t="str">
        <f>TEXT(Sales_Data[[#This Row],[Date]],"mmm-yyyy")</f>
        <v>Jun-2024</v>
      </c>
      <c r="P60" s="1">
        <f>YEAR(Sales_Data[[#This Row],[Date]])</f>
        <v>2024</v>
      </c>
      <c r="Q60" s="13">
        <f t="shared" ca="1" si="0"/>
        <v>1436</v>
      </c>
      <c r="R60" s="1">
        <f t="shared" ca="1" si="1"/>
        <v>3</v>
      </c>
      <c r="S60" s="17">
        <f t="shared" si="2"/>
        <v>45473</v>
      </c>
      <c r="T60" s="1" t="str">
        <f t="shared" si="3"/>
        <v>Normal</v>
      </c>
      <c r="U60" s="20">
        <f t="shared" ca="1" si="4"/>
        <v>46287.029763888888</v>
      </c>
    </row>
    <row r="61" spans="1:21" ht="15.75" thickBot="1" x14ac:dyDescent="0.3">
      <c r="A61" s="4" t="s">
        <v>178</v>
      </c>
      <c r="B61" s="2">
        <v>45474</v>
      </c>
      <c r="C61" s="1" t="s">
        <v>132</v>
      </c>
      <c r="D61" s="1" t="s">
        <v>133</v>
      </c>
      <c r="E61" s="1" t="s">
        <v>117</v>
      </c>
      <c r="F61" s="1" t="s">
        <v>118</v>
      </c>
      <c r="G61" s="39" t="s">
        <v>19</v>
      </c>
      <c r="H61" s="3">
        <v>2</v>
      </c>
      <c r="I61" s="3">
        <v>89.99</v>
      </c>
      <c r="J61" s="1" t="s">
        <v>34</v>
      </c>
      <c r="K61" s="1" t="s">
        <v>21</v>
      </c>
      <c r="L61" s="1" t="s">
        <v>27</v>
      </c>
      <c r="M61" s="2">
        <v>45275</v>
      </c>
      <c r="N61" s="43">
        <v>179.98</v>
      </c>
      <c r="O61" s="1" t="str">
        <f>TEXT(Sales_Data[[#This Row],[Date]],"mmm-yyyy")</f>
        <v>Jul-2024</v>
      </c>
      <c r="P61" s="1">
        <f>YEAR(Sales_Data[[#This Row],[Date]])</f>
        <v>2024</v>
      </c>
      <c r="Q61" s="13">
        <f t="shared" ca="1" si="0"/>
        <v>1012</v>
      </c>
      <c r="R61" s="1">
        <f t="shared" ca="1" si="1"/>
        <v>2</v>
      </c>
      <c r="S61" s="17">
        <f t="shared" si="2"/>
        <v>45504</v>
      </c>
      <c r="T61" s="1" t="str">
        <f t="shared" si="3"/>
        <v>Normal</v>
      </c>
      <c r="U61" s="20">
        <f t="shared" ca="1" si="4"/>
        <v>46287.029763888888</v>
      </c>
    </row>
    <row r="62" spans="1:21" ht="15.75" thickBot="1" x14ac:dyDescent="0.3">
      <c r="A62" s="4" t="s">
        <v>179</v>
      </c>
      <c r="B62" s="2">
        <v>45475</v>
      </c>
      <c r="C62" s="1" t="s">
        <v>55</v>
      </c>
      <c r="D62" s="1" t="s">
        <v>56</v>
      </c>
      <c r="E62" s="1" t="s">
        <v>117</v>
      </c>
      <c r="F62" s="1" t="s">
        <v>118</v>
      </c>
      <c r="G62" s="39" t="s">
        <v>19</v>
      </c>
      <c r="H62" s="3">
        <v>1</v>
      </c>
      <c r="I62" s="3">
        <v>89.99</v>
      </c>
      <c r="J62" s="1" t="s">
        <v>34</v>
      </c>
      <c r="K62" s="1" t="s">
        <v>50</v>
      </c>
      <c r="L62" s="1" t="s">
        <v>36</v>
      </c>
      <c r="M62" s="2">
        <v>44802</v>
      </c>
      <c r="N62" s="43">
        <v>89.99</v>
      </c>
      <c r="O62" s="1" t="str">
        <f>TEXT(Sales_Data[[#This Row],[Date]],"mmm-yyyy")</f>
        <v>Jul-2024</v>
      </c>
      <c r="P62" s="1">
        <f>YEAR(Sales_Data[[#This Row],[Date]])</f>
        <v>2024</v>
      </c>
      <c r="Q62" s="13">
        <f t="shared" ca="1" si="0"/>
        <v>1485</v>
      </c>
      <c r="R62" s="1">
        <f t="shared" ca="1" si="1"/>
        <v>4</v>
      </c>
      <c r="S62" s="17">
        <f t="shared" si="2"/>
        <v>45504</v>
      </c>
      <c r="T62" s="1" t="str">
        <f t="shared" si="3"/>
        <v>Normal</v>
      </c>
      <c r="U62" s="20">
        <f t="shared" ca="1" si="4"/>
        <v>46287.029763888888</v>
      </c>
    </row>
    <row r="63" spans="1:21" ht="15.75" thickBot="1" x14ac:dyDescent="0.3">
      <c r="A63" s="4" t="s">
        <v>180</v>
      </c>
      <c r="B63" s="2">
        <v>45476</v>
      </c>
      <c r="C63" s="1" t="s">
        <v>68</v>
      </c>
      <c r="D63" s="1" t="s">
        <v>69</v>
      </c>
      <c r="E63" s="1" t="s">
        <v>117</v>
      </c>
      <c r="F63" s="1" t="s">
        <v>118</v>
      </c>
      <c r="G63" s="39" t="s">
        <v>19</v>
      </c>
      <c r="H63" s="3">
        <v>1</v>
      </c>
      <c r="I63" s="3">
        <v>89.99</v>
      </c>
      <c r="J63" s="1" t="s">
        <v>20</v>
      </c>
      <c r="K63" s="1" t="s">
        <v>35</v>
      </c>
      <c r="L63" s="1" t="s">
        <v>36</v>
      </c>
      <c r="M63" s="2">
        <v>44611</v>
      </c>
      <c r="N63" s="43">
        <v>89.99</v>
      </c>
      <c r="O63" s="1" t="str">
        <f>TEXT(Sales_Data[[#This Row],[Date]],"mmm-yyyy")</f>
        <v>Jul-2024</v>
      </c>
      <c r="P63" s="1">
        <f>YEAR(Sales_Data[[#This Row],[Date]])</f>
        <v>2024</v>
      </c>
      <c r="Q63" s="13">
        <f t="shared" ca="1" si="0"/>
        <v>1676</v>
      </c>
      <c r="R63" s="1">
        <f t="shared" ca="1" si="1"/>
        <v>4</v>
      </c>
      <c r="S63" s="17">
        <f t="shared" si="2"/>
        <v>45504</v>
      </c>
      <c r="T63" s="1" t="str">
        <f t="shared" si="3"/>
        <v>Normal</v>
      </c>
      <c r="U63" s="20">
        <f t="shared" ca="1" si="4"/>
        <v>46287.029763888888</v>
      </c>
    </row>
    <row r="64" spans="1:21" ht="15.75" thickBot="1" x14ac:dyDescent="0.3">
      <c r="A64" s="4" t="s">
        <v>181</v>
      </c>
      <c r="B64" s="2">
        <v>45476</v>
      </c>
      <c r="C64" s="1" t="s">
        <v>182</v>
      </c>
      <c r="D64" s="1" t="s">
        <v>183</v>
      </c>
      <c r="E64" s="1" t="s">
        <v>114</v>
      </c>
      <c r="F64" s="1" t="s">
        <v>115</v>
      </c>
      <c r="G64" s="39" t="s">
        <v>33</v>
      </c>
      <c r="H64" s="3">
        <v>5</v>
      </c>
      <c r="I64" s="3">
        <v>79.989999999999995</v>
      </c>
      <c r="J64" s="1" t="s">
        <v>57</v>
      </c>
      <c r="K64" s="1" t="s">
        <v>21</v>
      </c>
      <c r="L64" s="1" t="s">
        <v>22</v>
      </c>
      <c r="M64" s="2">
        <v>44981</v>
      </c>
      <c r="N64" s="43">
        <v>399.95</v>
      </c>
      <c r="O64" s="1" t="str">
        <f>TEXT(Sales_Data[[#This Row],[Date]],"mmm-yyyy")</f>
        <v>Jul-2024</v>
      </c>
      <c r="P64" s="1">
        <f>YEAR(Sales_Data[[#This Row],[Date]])</f>
        <v>2024</v>
      </c>
      <c r="Q64" s="13">
        <f t="shared" ca="1" si="0"/>
        <v>1306</v>
      </c>
      <c r="R64" s="1">
        <f t="shared" ca="1" si="1"/>
        <v>3</v>
      </c>
      <c r="S64" s="17">
        <f t="shared" si="2"/>
        <v>45504</v>
      </c>
      <c r="T64" s="1" t="str">
        <f t="shared" si="3"/>
        <v>Normal</v>
      </c>
      <c r="U64" s="20">
        <f t="shared" ca="1" si="4"/>
        <v>46287.029763888888</v>
      </c>
    </row>
    <row r="65" spans="1:21" ht="15.75" thickBot="1" x14ac:dyDescent="0.3">
      <c r="A65" s="4" t="s">
        <v>184</v>
      </c>
      <c r="B65" s="2">
        <v>45481</v>
      </c>
      <c r="C65" s="1" t="s">
        <v>185</v>
      </c>
      <c r="D65" s="1" t="s">
        <v>186</v>
      </c>
      <c r="E65" s="1" t="s">
        <v>44</v>
      </c>
      <c r="F65" s="1" t="s">
        <v>45</v>
      </c>
      <c r="G65" s="39" t="s">
        <v>46</v>
      </c>
      <c r="H65" s="3">
        <v>1</v>
      </c>
      <c r="I65" s="3">
        <v>149.99</v>
      </c>
      <c r="J65" s="1" t="s">
        <v>34</v>
      </c>
      <c r="K65" s="1" t="s">
        <v>40</v>
      </c>
      <c r="L65" s="1" t="s">
        <v>22</v>
      </c>
      <c r="M65" s="2">
        <v>44421</v>
      </c>
      <c r="N65" s="43">
        <v>149.99</v>
      </c>
      <c r="O65" s="1" t="str">
        <f>TEXT(Sales_Data[[#This Row],[Date]],"mmm-yyyy")</f>
        <v>Jul-2024</v>
      </c>
      <c r="P65" s="1">
        <f>YEAR(Sales_Data[[#This Row],[Date]])</f>
        <v>2024</v>
      </c>
      <c r="Q65" s="13">
        <f t="shared" ca="1" si="0"/>
        <v>1866</v>
      </c>
      <c r="R65" s="1">
        <f t="shared" ca="1" si="1"/>
        <v>5</v>
      </c>
      <c r="S65" s="17">
        <f t="shared" si="2"/>
        <v>45504</v>
      </c>
      <c r="T65" s="1" t="str">
        <f t="shared" si="3"/>
        <v>Normal</v>
      </c>
      <c r="U65" s="20">
        <f t="shared" ca="1" si="4"/>
        <v>46287.029763888888</v>
      </c>
    </row>
    <row r="66" spans="1:21" ht="15.75" thickBot="1" x14ac:dyDescent="0.3">
      <c r="A66" s="4" t="s">
        <v>187</v>
      </c>
      <c r="B66" s="2">
        <v>45481</v>
      </c>
      <c r="C66" s="1" t="s">
        <v>42</v>
      </c>
      <c r="D66" s="1" t="s">
        <v>43</v>
      </c>
      <c r="E66" s="1" t="s">
        <v>80</v>
      </c>
      <c r="F66" s="1" t="s">
        <v>81</v>
      </c>
      <c r="G66" s="39" t="s">
        <v>19</v>
      </c>
      <c r="H66" s="3">
        <v>2</v>
      </c>
      <c r="I66" s="3">
        <v>699.99</v>
      </c>
      <c r="J66" s="1" t="s">
        <v>34</v>
      </c>
      <c r="K66" s="1" t="s">
        <v>63</v>
      </c>
      <c r="L66" s="1" t="s">
        <v>27</v>
      </c>
      <c r="M66" s="2">
        <v>45389</v>
      </c>
      <c r="N66" s="43">
        <v>1399.98</v>
      </c>
      <c r="O66" s="1" t="str">
        <f>TEXT(Sales_Data[[#This Row],[Date]],"mmm-yyyy")</f>
        <v>Jul-2024</v>
      </c>
      <c r="P66" s="1">
        <f>YEAR(Sales_Data[[#This Row],[Date]])</f>
        <v>2024</v>
      </c>
      <c r="Q66" s="13">
        <f t="shared" ref="Q66:Q129" ca="1" si="5">TODAY()-M66</f>
        <v>898</v>
      </c>
      <c r="R66" s="1">
        <f t="shared" ref="R66:R129" ca="1" si="6">DATEDIF(M66,TODAY(),"Y")</f>
        <v>2</v>
      </c>
      <c r="S66" s="17">
        <f t="shared" ref="S66:S129" si="7">EOMONTH(B66,0)</f>
        <v>45504</v>
      </c>
      <c r="T66" s="1" t="str">
        <f t="shared" ref="T66:T129" si="8">IF(N66&gt;=1000,"High Value","Normal")</f>
        <v>High Value</v>
      </c>
      <c r="U66" s="20">
        <f t="shared" ref="U66:U129" ca="1" si="9">NOW()</f>
        <v>46287.029763888888</v>
      </c>
    </row>
    <row r="67" spans="1:21" ht="15.75" thickBot="1" x14ac:dyDescent="0.3">
      <c r="A67" s="4" t="s">
        <v>188</v>
      </c>
      <c r="B67" s="2">
        <v>45481</v>
      </c>
      <c r="C67" s="1" t="s">
        <v>96</v>
      </c>
      <c r="D67" s="1" t="s">
        <v>97</v>
      </c>
      <c r="E67" s="1" t="s">
        <v>117</v>
      </c>
      <c r="F67" s="1" t="s">
        <v>118</v>
      </c>
      <c r="G67" s="39" t="s">
        <v>19</v>
      </c>
      <c r="H67" s="3">
        <v>5</v>
      </c>
      <c r="I67" s="3">
        <v>89.99</v>
      </c>
      <c r="J67" s="1" t="s">
        <v>57</v>
      </c>
      <c r="K67" s="1" t="s">
        <v>40</v>
      </c>
      <c r="L67" s="1" t="s">
        <v>27</v>
      </c>
      <c r="M67" s="2">
        <v>45161</v>
      </c>
      <c r="N67" s="43">
        <v>449.95</v>
      </c>
      <c r="O67" s="1" t="str">
        <f>TEXT(Sales_Data[[#This Row],[Date]],"mmm-yyyy")</f>
        <v>Jul-2024</v>
      </c>
      <c r="P67" s="1">
        <f>YEAR(Sales_Data[[#This Row],[Date]])</f>
        <v>2024</v>
      </c>
      <c r="Q67" s="13">
        <f t="shared" ca="1" si="5"/>
        <v>1126</v>
      </c>
      <c r="R67" s="1">
        <f t="shared" ca="1" si="6"/>
        <v>3</v>
      </c>
      <c r="S67" s="17">
        <f t="shared" si="7"/>
        <v>45504</v>
      </c>
      <c r="T67" s="1" t="str">
        <f t="shared" si="8"/>
        <v>Normal</v>
      </c>
      <c r="U67" s="20">
        <f t="shared" ca="1" si="9"/>
        <v>46287.029763888888</v>
      </c>
    </row>
    <row r="68" spans="1:21" ht="15.75" thickBot="1" x14ac:dyDescent="0.3">
      <c r="A68" s="4" t="s">
        <v>189</v>
      </c>
      <c r="B68" s="2">
        <v>45482</v>
      </c>
      <c r="C68" s="1" t="s">
        <v>171</v>
      </c>
      <c r="D68" s="1" t="s">
        <v>172</v>
      </c>
      <c r="E68" s="1" t="s">
        <v>31</v>
      </c>
      <c r="F68" s="1" t="s">
        <v>32</v>
      </c>
      <c r="G68" s="39" t="s">
        <v>33</v>
      </c>
      <c r="H68" s="3">
        <v>4</v>
      </c>
      <c r="I68" s="3">
        <v>59.99</v>
      </c>
      <c r="J68" s="1" t="s">
        <v>20</v>
      </c>
      <c r="K68" s="1" t="s">
        <v>35</v>
      </c>
      <c r="L68" s="1" t="s">
        <v>36</v>
      </c>
      <c r="M68" s="2">
        <v>44509</v>
      </c>
      <c r="N68" s="43">
        <v>239.96</v>
      </c>
      <c r="O68" s="1" t="str">
        <f>TEXT(Sales_Data[[#This Row],[Date]],"mmm-yyyy")</f>
        <v>Jul-2024</v>
      </c>
      <c r="P68" s="1">
        <f>YEAR(Sales_Data[[#This Row],[Date]])</f>
        <v>2024</v>
      </c>
      <c r="Q68" s="13">
        <f t="shared" ca="1" si="5"/>
        <v>1778</v>
      </c>
      <c r="R68" s="1">
        <f t="shared" ca="1" si="6"/>
        <v>4</v>
      </c>
      <c r="S68" s="17">
        <f t="shared" si="7"/>
        <v>45504</v>
      </c>
      <c r="T68" s="1" t="str">
        <f t="shared" si="8"/>
        <v>Normal</v>
      </c>
      <c r="U68" s="20">
        <f t="shared" ca="1" si="9"/>
        <v>46287.029763888888</v>
      </c>
    </row>
    <row r="69" spans="1:21" ht="15.75" thickBot="1" x14ac:dyDescent="0.3">
      <c r="A69" s="4" t="s">
        <v>190</v>
      </c>
      <c r="B69" s="2">
        <v>45484</v>
      </c>
      <c r="C69" s="1" t="s">
        <v>24</v>
      </c>
      <c r="D69" s="1" t="s">
        <v>25</v>
      </c>
      <c r="E69" s="1" t="s">
        <v>52</v>
      </c>
      <c r="F69" s="1" t="s">
        <v>53</v>
      </c>
      <c r="G69" s="39" t="s">
        <v>19</v>
      </c>
      <c r="H69" s="3">
        <v>1</v>
      </c>
      <c r="I69" s="3">
        <v>149.99</v>
      </c>
      <c r="J69" s="1" t="s">
        <v>20</v>
      </c>
      <c r="K69" s="1" t="s">
        <v>21</v>
      </c>
      <c r="L69" s="1" t="s">
        <v>36</v>
      </c>
      <c r="M69" s="2">
        <v>44909</v>
      </c>
      <c r="N69" s="43">
        <v>149.99</v>
      </c>
      <c r="O69" s="1" t="str">
        <f>TEXT(Sales_Data[[#This Row],[Date]],"mmm-yyyy")</f>
        <v>Jul-2024</v>
      </c>
      <c r="P69" s="1">
        <f>YEAR(Sales_Data[[#This Row],[Date]])</f>
        <v>2024</v>
      </c>
      <c r="Q69" s="13">
        <f t="shared" ca="1" si="5"/>
        <v>1378</v>
      </c>
      <c r="R69" s="1">
        <f t="shared" ca="1" si="6"/>
        <v>3</v>
      </c>
      <c r="S69" s="17">
        <f t="shared" si="7"/>
        <v>45504</v>
      </c>
      <c r="T69" s="1" t="str">
        <f t="shared" si="8"/>
        <v>Normal</v>
      </c>
      <c r="U69" s="20">
        <f t="shared" ca="1" si="9"/>
        <v>46287.029763888888</v>
      </c>
    </row>
    <row r="70" spans="1:21" ht="15.75" thickBot="1" x14ac:dyDescent="0.3">
      <c r="A70" s="4" t="s">
        <v>191</v>
      </c>
      <c r="B70" s="2">
        <v>45484</v>
      </c>
      <c r="C70" s="1" t="s">
        <v>192</v>
      </c>
      <c r="D70" s="1" t="s">
        <v>193</v>
      </c>
      <c r="E70" s="1" t="s">
        <v>105</v>
      </c>
      <c r="F70" s="1" t="s">
        <v>106</v>
      </c>
      <c r="G70" s="39" t="s">
        <v>46</v>
      </c>
      <c r="H70" s="3">
        <v>1</v>
      </c>
      <c r="I70" s="3">
        <v>299.99</v>
      </c>
      <c r="J70" s="1" t="s">
        <v>26</v>
      </c>
      <c r="K70" s="1" t="s">
        <v>40</v>
      </c>
      <c r="L70" s="1" t="s">
        <v>27</v>
      </c>
      <c r="M70" s="2">
        <v>44891</v>
      </c>
      <c r="N70" s="43">
        <v>299.99</v>
      </c>
      <c r="O70" s="1" t="str">
        <f>TEXT(Sales_Data[[#This Row],[Date]],"mmm-yyyy")</f>
        <v>Jul-2024</v>
      </c>
      <c r="P70" s="1">
        <f>YEAR(Sales_Data[[#This Row],[Date]])</f>
        <v>2024</v>
      </c>
      <c r="Q70" s="13">
        <f t="shared" ca="1" si="5"/>
        <v>1396</v>
      </c>
      <c r="R70" s="1">
        <f t="shared" ca="1" si="6"/>
        <v>3</v>
      </c>
      <c r="S70" s="17">
        <f t="shared" si="7"/>
        <v>45504</v>
      </c>
      <c r="T70" s="1" t="str">
        <f t="shared" si="8"/>
        <v>Normal</v>
      </c>
      <c r="U70" s="20">
        <f t="shared" ca="1" si="9"/>
        <v>46287.029763888888</v>
      </c>
    </row>
    <row r="71" spans="1:21" ht="15.75" thickBot="1" x14ac:dyDescent="0.3">
      <c r="A71" s="4" t="s">
        <v>194</v>
      </c>
      <c r="B71" s="2">
        <v>45487</v>
      </c>
      <c r="C71" s="1" t="s">
        <v>192</v>
      </c>
      <c r="D71" s="1" t="s">
        <v>193</v>
      </c>
      <c r="E71" s="1" t="s">
        <v>126</v>
      </c>
      <c r="F71" s="1" t="s">
        <v>127</v>
      </c>
      <c r="G71" s="39" t="s">
        <v>46</v>
      </c>
      <c r="H71" s="3">
        <v>2</v>
      </c>
      <c r="I71" s="3">
        <v>199.99</v>
      </c>
      <c r="J71" s="1" t="s">
        <v>20</v>
      </c>
      <c r="K71" s="1" t="s">
        <v>40</v>
      </c>
      <c r="L71" s="1" t="s">
        <v>22</v>
      </c>
      <c r="M71" s="2">
        <v>44541</v>
      </c>
      <c r="N71" s="43">
        <v>399.98</v>
      </c>
      <c r="O71" s="1" t="str">
        <f>TEXT(Sales_Data[[#This Row],[Date]],"mmm-yyyy")</f>
        <v>Jul-2024</v>
      </c>
      <c r="P71" s="1">
        <f>YEAR(Sales_Data[[#This Row],[Date]])</f>
        <v>2024</v>
      </c>
      <c r="Q71" s="13">
        <f t="shared" ca="1" si="5"/>
        <v>1746</v>
      </c>
      <c r="R71" s="1">
        <f t="shared" ca="1" si="6"/>
        <v>4</v>
      </c>
      <c r="S71" s="17">
        <f t="shared" si="7"/>
        <v>45504</v>
      </c>
      <c r="T71" s="1" t="str">
        <f t="shared" si="8"/>
        <v>Normal</v>
      </c>
      <c r="U71" s="20">
        <f t="shared" ca="1" si="9"/>
        <v>46287.029763888888</v>
      </c>
    </row>
    <row r="72" spans="1:21" ht="15.75" thickBot="1" x14ac:dyDescent="0.3">
      <c r="A72" s="4" t="s">
        <v>195</v>
      </c>
      <c r="B72" s="2">
        <v>45490</v>
      </c>
      <c r="C72" s="1" t="s">
        <v>196</v>
      </c>
      <c r="D72" s="1" t="s">
        <v>197</v>
      </c>
      <c r="E72" s="1" t="s">
        <v>31</v>
      </c>
      <c r="F72" s="1" t="s">
        <v>32</v>
      </c>
      <c r="G72" s="39" t="s">
        <v>33</v>
      </c>
      <c r="H72" s="3">
        <v>3</v>
      </c>
      <c r="I72" s="3">
        <v>59.99</v>
      </c>
      <c r="J72" s="1" t="s">
        <v>26</v>
      </c>
      <c r="K72" s="1" t="s">
        <v>50</v>
      </c>
      <c r="L72" s="1" t="s">
        <v>22</v>
      </c>
      <c r="M72" s="2">
        <v>45130</v>
      </c>
      <c r="N72" s="43">
        <v>179.97</v>
      </c>
      <c r="O72" s="1" t="str">
        <f>TEXT(Sales_Data[[#This Row],[Date]],"mmm-yyyy")</f>
        <v>Jul-2024</v>
      </c>
      <c r="P72" s="1">
        <f>YEAR(Sales_Data[[#This Row],[Date]])</f>
        <v>2024</v>
      </c>
      <c r="Q72" s="13">
        <f t="shared" ca="1" si="5"/>
        <v>1157</v>
      </c>
      <c r="R72" s="1">
        <f t="shared" ca="1" si="6"/>
        <v>3</v>
      </c>
      <c r="S72" s="17">
        <f t="shared" si="7"/>
        <v>45504</v>
      </c>
      <c r="T72" s="1" t="str">
        <f t="shared" si="8"/>
        <v>Normal</v>
      </c>
      <c r="U72" s="20">
        <f t="shared" ca="1" si="9"/>
        <v>46287.029763888888</v>
      </c>
    </row>
    <row r="73" spans="1:21" ht="15.75" thickBot="1" x14ac:dyDescent="0.3">
      <c r="A73" s="4" t="s">
        <v>198</v>
      </c>
      <c r="B73" s="2">
        <v>45490</v>
      </c>
      <c r="C73" s="1" t="s">
        <v>72</v>
      </c>
      <c r="D73" s="1" t="s">
        <v>73</v>
      </c>
      <c r="E73" s="1" t="s">
        <v>44</v>
      </c>
      <c r="F73" s="1" t="s">
        <v>45</v>
      </c>
      <c r="G73" s="39" t="s">
        <v>46</v>
      </c>
      <c r="H73" s="3">
        <v>3</v>
      </c>
      <c r="I73" s="3">
        <v>149.99</v>
      </c>
      <c r="J73" s="1" t="s">
        <v>20</v>
      </c>
      <c r="K73" s="1" t="s">
        <v>21</v>
      </c>
      <c r="L73" s="1" t="s">
        <v>27</v>
      </c>
      <c r="M73" s="2">
        <v>45199</v>
      </c>
      <c r="N73" s="43">
        <v>449.97</v>
      </c>
      <c r="O73" s="1" t="str">
        <f>TEXT(Sales_Data[[#This Row],[Date]],"mmm-yyyy")</f>
        <v>Jul-2024</v>
      </c>
      <c r="P73" s="1">
        <f>YEAR(Sales_Data[[#This Row],[Date]])</f>
        <v>2024</v>
      </c>
      <c r="Q73" s="13">
        <f t="shared" ca="1" si="5"/>
        <v>1088</v>
      </c>
      <c r="R73" s="1">
        <f t="shared" ca="1" si="6"/>
        <v>2</v>
      </c>
      <c r="S73" s="17">
        <f t="shared" si="7"/>
        <v>45504</v>
      </c>
      <c r="T73" s="1" t="str">
        <f t="shared" si="8"/>
        <v>Normal</v>
      </c>
      <c r="U73" s="20">
        <f t="shared" ca="1" si="9"/>
        <v>46287.029763888888</v>
      </c>
    </row>
    <row r="74" spans="1:21" ht="15.75" thickBot="1" x14ac:dyDescent="0.3">
      <c r="A74" s="4" t="s">
        <v>199</v>
      </c>
      <c r="B74" s="2">
        <v>45491</v>
      </c>
      <c r="C74" s="1" t="s">
        <v>65</v>
      </c>
      <c r="D74" s="1" t="s">
        <v>66</v>
      </c>
      <c r="E74" s="1" t="s">
        <v>126</v>
      </c>
      <c r="F74" s="1" t="s">
        <v>127</v>
      </c>
      <c r="G74" s="39" t="s">
        <v>46</v>
      </c>
      <c r="H74" s="3">
        <v>3</v>
      </c>
      <c r="I74" s="3">
        <v>199.99</v>
      </c>
      <c r="J74" s="1" t="s">
        <v>20</v>
      </c>
      <c r="K74" s="1" t="s">
        <v>40</v>
      </c>
      <c r="L74" s="1" t="s">
        <v>27</v>
      </c>
      <c r="M74" s="2">
        <v>45254</v>
      </c>
      <c r="N74" s="43">
        <v>599.97</v>
      </c>
      <c r="O74" s="1" t="str">
        <f>TEXT(Sales_Data[[#This Row],[Date]],"mmm-yyyy")</f>
        <v>Jul-2024</v>
      </c>
      <c r="P74" s="1">
        <f>YEAR(Sales_Data[[#This Row],[Date]])</f>
        <v>2024</v>
      </c>
      <c r="Q74" s="13">
        <f t="shared" ca="1" si="5"/>
        <v>1033</v>
      </c>
      <c r="R74" s="1">
        <f t="shared" ca="1" si="6"/>
        <v>2</v>
      </c>
      <c r="S74" s="17">
        <f t="shared" si="7"/>
        <v>45504</v>
      </c>
      <c r="T74" s="1" t="str">
        <f t="shared" si="8"/>
        <v>Normal</v>
      </c>
      <c r="U74" s="20">
        <f t="shared" ca="1" si="9"/>
        <v>46287.029763888888</v>
      </c>
    </row>
    <row r="75" spans="1:21" ht="15.75" thickBot="1" x14ac:dyDescent="0.3">
      <c r="A75" s="4" t="s">
        <v>200</v>
      </c>
      <c r="B75" s="2">
        <v>45496</v>
      </c>
      <c r="C75" s="1" t="s">
        <v>150</v>
      </c>
      <c r="D75" s="1" t="s">
        <v>151</v>
      </c>
      <c r="E75" s="1" t="s">
        <v>61</v>
      </c>
      <c r="F75" s="1" t="s">
        <v>62</v>
      </c>
      <c r="G75" s="39" t="s">
        <v>19</v>
      </c>
      <c r="H75" s="3">
        <v>1</v>
      </c>
      <c r="I75" s="3">
        <v>899.99</v>
      </c>
      <c r="J75" s="1" t="s">
        <v>20</v>
      </c>
      <c r="K75" s="1" t="s">
        <v>21</v>
      </c>
      <c r="L75" s="1" t="s">
        <v>36</v>
      </c>
      <c r="M75" s="2">
        <v>45179</v>
      </c>
      <c r="N75" s="43">
        <v>899.99</v>
      </c>
      <c r="O75" s="1" t="str">
        <f>TEXT(Sales_Data[[#This Row],[Date]],"mmm-yyyy")</f>
        <v>Jul-2024</v>
      </c>
      <c r="P75" s="1">
        <f>YEAR(Sales_Data[[#This Row],[Date]])</f>
        <v>2024</v>
      </c>
      <c r="Q75" s="13">
        <f t="shared" ca="1" si="5"/>
        <v>1108</v>
      </c>
      <c r="R75" s="1">
        <f t="shared" ca="1" si="6"/>
        <v>3</v>
      </c>
      <c r="S75" s="17">
        <f t="shared" si="7"/>
        <v>45504</v>
      </c>
      <c r="T75" s="1" t="str">
        <f t="shared" si="8"/>
        <v>Normal</v>
      </c>
      <c r="U75" s="20">
        <f t="shared" ca="1" si="9"/>
        <v>46287.029763888888</v>
      </c>
    </row>
    <row r="76" spans="1:21" ht="15.75" thickBot="1" x14ac:dyDescent="0.3">
      <c r="A76" s="4" t="s">
        <v>201</v>
      </c>
      <c r="B76" s="2">
        <v>45497</v>
      </c>
      <c r="C76" s="1" t="s">
        <v>24</v>
      </c>
      <c r="D76" s="1" t="s">
        <v>25</v>
      </c>
      <c r="E76" s="1" t="s">
        <v>61</v>
      </c>
      <c r="F76" s="1" t="s">
        <v>62</v>
      </c>
      <c r="G76" s="39" t="s">
        <v>19</v>
      </c>
      <c r="H76" s="3">
        <v>5</v>
      </c>
      <c r="I76" s="3">
        <v>899.99</v>
      </c>
      <c r="J76" s="1" t="s">
        <v>57</v>
      </c>
      <c r="K76" s="1" t="s">
        <v>35</v>
      </c>
      <c r="L76" s="1" t="s">
        <v>36</v>
      </c>
      <c r="M76" s="2">
        <v>44899</v>
      </c>
      <c r="N76" s="43">
        <v>4499.95</v>
      </c>
      <c r="O76" s="1" t="str">
        <f>TEXT(Sales_Data[[#This Row],[Date]],"mmm-yyyy")</f>
        <v>Jul-2024</v>
      </c>
      <c r="P76" s="1">
        <f>YEAR(Sales_Data[[#This Row],[Date]])</f>
        <v>2024</v>
      </c>
      <c r="Q76" s="13">
        <f t="shared" ca="1" si="5"/>
        <v>1388</v>
      </c>
      <c r="R76" s="1">
        <f t="shared" ca="1" si="6"/>
        <v>3</v>
      </c>
      <c r="S76" s="17">
        <f t="shared" si="7"/>
        <v>45504</v>
      </c>
      <c r="T76" s="1" t="str">
        <f t="shared" si="8"/>
        <v>High Value</v>
      </c>
      <c r="U76" s="20">
        <f t="shared" ca="1" si="9"/>
        <v>46287.029763888888</v>
      </c>
    </row>
    <row r="77" spans="1:21" ht="15.75" thickBot="1" x14ac:dyDescent="0.3">
      <c r="A77" s="4" t="s">
        <v>202</v>
      </c>
      <c r="B77" s="2">
        <v>45498</v>
      </c>
      <c r="C77" s="1" t="s">
        <v>182</v>
      </c>
      <c r="D77" s="1" t="s">
        <v>183</v>
      </c>
      <c r="E77" s="1" t="s">
        <v>31</v>
      </c>
      <c r="F77" s="1" t="s">
        <v>32</v>
      </c>
      <c r="G77" s="39" t="s">
        <v>33</v>
      </c>
      <c r="H77" s="3">
        <v>2</v>
      </c>
      <c r="I77" s="3">
        <v>59.99</v>
      </c>
      <c r="J77" s="1" t="s">
        <v>20</v>
      </c>
      <c r="K77" s="1" t="s">
        <v>40</v>
      </c>
      <c r="L77" s="1" t="s">
        <v>36</v>
      </c>
      <c r="M77" s="2">
        <v>45152</v>
      </c>
      <c r="N77" s="43">
        <v>119.98</v>
      </c>
      <c r="O77" s="1" t="str">
        <f>TEXT(Sales_Data[[#This Row],[Date]],"mmm-yyyy")</f>
        <v>Jul-2024</v>
      </c>
      <c r="P77" s="1">
        <f>YEAR(Sales_Data[[#This Row],[Date]])</f>
        <v>2024</v>
      </c>
      <c r="Q77" s="13">
        <f t="shared" ca="1" si="5"/>
        <v>1135</v>
      </c>
      <c r="R77" s="1">
        <f t="shared" ca="1" si="6"/>
        <v>3</v>
      </c>
      <c r="S77" s="17">
        <f t="shared" si="7"/>
        <v>45504</v>
      </c>
      <c r="T77" s="1" t="str">
        <f t="shared" si="8"/>
        <v>Normal</v>
      </c>
      <c r="U77" s="20">
        <f t="shared" ca="1" si="9"/>
        <v>46287.029763888888</v>
      </c>
    </row>
    <row r="78" spans="1:21" ht="15.75" thickBot="1" x14ac:dyDescent="0.3">
      <c r="A78" s="4" t="s">
        <v>203</v>
      </c>
      <c r="B78" s="2">
        <v>45498</v>
      </c>
      <c r="C78" s="1" t="s">
        <v>196</v>
      </c>
      <c r="D78" s="1" t="s">
        <v>197</v>
      </c>
      <c r="E78" s="1" t="s">
        <v>17</v>
      </c>
      <c r="F78" s="1" t="s">
        <v>18</v>
      </c>
      <c r="G78" s="39" t="s">
        <v>19</v>
      </c>
      <c r="H78" s="3">
        <v>4</v>
      </c>
      <c r="I78" s="3">
        <v>249.99</v>
      </c>
      <c r="J78" s="1" t="s">
        <v>57</v>
      </c>
      <c r="K78" s="1" t="s">
        <v>21</v>
      </c>
      <c r="L78" s="1" t="s">
        <v>36</v>
      </c>
      <c r="M78" s="2">
        <v>45127</v>
      </c>
      <c r="N78" s="43">
        <v>999.96</v>
      </c>
      <c r="O78" s="1" t="str">
        <f>TEXT(Sales_Data[[#This Row],[Date]],"mmm-yyyy")</f>
        <v>Jul-2024</v>
      </c>
      <c r="P78" s="1">
        <f>YEAR(Sales_Data[[#This Row],[Date]])</f>
        <v>2024</v>
      </c>
      <c r="Q78" s="13">
        <f t="shared" ca="1" si="5"/>
        <v>1160</v>
      </c>
      <c r="R78" s="1">
        <f t="shared" ca="1" si="6"/>
        <v>3</v>
      </c>
      <c r="S78" s="17">
        <f t="shared" si="7"/>
        <v>45504</v>
      </c>
      <c r="T78" s="1" t="str">
        <f t="shared" si="8"/>
        <v>Normal</v>
      </c>
      <c r="U78" s="20">
        <f t="shared" ca="1" si="9"/>
        <v>46287.029763888888</v>
      </c>
    </row>
    <row r="79" spans="1:21" ht="15.75" thickBot="1" x14ac:dyDescent="0.3">
      <c r="A79" s="4" t="s">
        <v>204</v>
      </c>
      <c r="B79" s="2">
        <v>45500</v>
      </c>
      <c r="C79" s="1" t="s">
        <v>96</v>
      </c>
      <c r="D79" s="1" t="s">
        <v>97</v>
      </c>
      <c r="E79" s="1" t="s">
        <v>17</v>
      </c>
      <c r="F79" s="1" t="s">
        <v>18</v>
      </c>
      <c r="G79" s="39" t="s">
        <v>19</v>
      </c>
      <c r="H79" s="3">
        <v>2</v>
      </c>
      <c r="I79" s="3">
        <v>249.99</v>
      </c>
      <c r="J79" s="1" t="s">
        <v>20</v>
      </c>
      <c r="K79" s="1" t="s">
        <v>40</v>
      </c>
      <c r="L79" s="1" t="s">
        <v>27</v>
      </c>
      <c r="M79" s="2">
        <v>45164</v>
      </c>
      <c r="N79" s="43">
        <v>499.98</v>
      </c>
      <c r="O79" s="1" t="str">
        <f>TEXT(Sales_Data[[#This Row],[Date]],"mmm-yyyy")</f>
        <v>Jul-2024</v>
      </c>
      <c r="P79" s="1">
        <f>YEAR(Sales_Data[[#This Row],[Date]])</f>
        <v>2024</v>
      </c>
      <c r="Q79" s="13">
        <f t="shared" ca="1" si="5"/>
        <v>1123</v>
      </c>
      <c r="R79" s="1">
        <f t="shared" ca="1" si="6"/>
        <v>3</v>
      </c>
      <c r="S79" s="17">
        <f t="shared" si="7"/>
        <v>45504</v>
      </c>
      <c r="T79" s="1" t="str">
        <f t="shared" si="8"/>
        <v>Normal</v>
      </c>
      <c r="U79" s="20">
        <f t="shared" ca="1" si="9"/>
        <v>46287.029763888888</v>
      </c>
    </row>
    <row r="80" spans="1:21" ht="15.75" thickBot="1" x14ac:dyDescent="0.3">
      <c r="A80" s="4" t="s">
        <v>205</v>
      </c>
      <c r="B80" s="2">
        <v>45500</v>
      </c>
      <c r="C80" s="1" t="s">
        <v>147</v>
      </c>
      <c r="D80" s="1" t="s">
        <v>148</v>
      </c>
      <c r="E80" s="1" t="s">
        <v>105</v>
      </c>
      <c r="F80" s="1" t="s">
        <v>106</v>
      </c>
      <c r="G80" s="39" t="s">
        <v>46</v>
      </c>
      <c r="H80" s="3">
        <v>1</v>
      </c>
      <c r="I80" s="3">
        <v>299.99</v>
      </c>
      <c r="J80" s="1" t="s">
        <v>20</v>
      </c>
      <c r="K80" s="1" t="s">
        <v>35</v>
      </c>
      <c r="L80" s="1" t="s">
        <v>22</v>
      </c>
      <c r="M80" s="2">
        <v>44982</v>
      </c>
      <c r="N80" s="43">
        <v>299.99</v>
      </c>
      <c r="O80" s="1" t="str">
        <f>TEXT(Sales_Data[[#This Row],[Date]],"mmm-yyyy")</f>
        <v>Jul-2024</v>
      </c>
      <c r="P80" s="1">
        <f>YEAR(Sales_Data[[#This Row],[Date]])</f>
        <v>2024</v>
      </c>
      <c r="Q80" s="13">
        <f t="shared" ca="1" si="5"/>
        <v>1305</v>
      </c>
      <c r="R80" s="1">
        <f t="shared" ca="1" si="6"/>
        <v>3</v>
      </c>
      <c r="S80" s="17">
        <f t="shared" si="7"/>
        <v>45504</v>
      </c>
      <c r="T80" s="1" t="str">
        <f t="shared" si="8"/>
        <v>Normal</v>
      </c>
      <c r="U80" s="20">
        <f t="shared" ca="1" si="9"/>
        <v>46287.029763888888</v>
      </c>
    </row>
    <row r="81" spans="1:21" ht="15.75" thickBot="1" x14ac:dyDescent="0.3">
      <c r="A81" s="4" t="s">
        <v>206</v>
      </c>
      <c r="B81" s="2">
        <v>45501</v>
      </c>
      <c r="C81" s="1" t="s">
        <v>86</v>
      </c>
      <c r="D81" s="1" t="s">
        <v>87</v>
      </c>
      <c r="E81" s="1" t="s">
        <v>117</v>
      </c>
      <c r="F81" s="1" t="s">
        <v>118</v>
      </c>
      <c r="G81" s="39" t="s">
        <v>19</v>
      </c>
      <c r="H81" s="3">
        <v>2</v>
      </c>
      <c r="I81" s="3">
        <v>89.99</v>
      </c>
      <c r="J81" s="1" t="s">
        <v>34</v>
      </c>
      <c r="K81" s="1" t="s">
        <v>35</v>
      </c>
      <c r="L81" s="1" t="s">
        <v>22</v>
      </c>
      <c r="M81" s="2">
        <v>44976</v>
      </c>
      <c r="N81" s="43">
        <v>179.98</v>
      </c>
      <c r="O81" s="1" t="str">
        <f>TEXT(Sales_Data[[#This Row],[Date]],"mmm-yyyy")</f>
        <v>Jul-2024</v>
      </c>
      <c r="P81" s="1">
        <f>YEAR(Sales_Data[[#This Row],[Date]])</f>
        <v>2024</v>
      </c>
      <c r="Q81" s="13">
        <f t="shared" ca="1" si="5"/>
        <v>1311</v>
      </c>
      <c r="R81" s="1">
        <f t="shared" ca="1" si="6"/>
        <v>3</v>
      </c>
      <c r="S81" s="17">
        <f t="shared" si="7"/>
        <v>45504</v>
      </c>
      <c r="T81" s="1" t="str">
        <f t="shared" si="8"/>
        <v>Normal</v>
      </c>
      <c r="U81" s="20">
        <f t="shared" ca="1" si="9"/>
        <v>46287.029763888888</v>
      </c>
    </row>
    <row r="82" spans="1:21" ht="15.75" thickBot="1" x14ac:dyDescent="0.3">
      <c r="A82" s="4" t="s">
        <v>207</v>
      </c>
      <c r="B82" s="2">
        <v>45501</v>
      </c>
      <c r="C82" s="1" t="s">
        <v>147</v>
      </c>
      <c r="D82" s="1" t="s">
        <v>148</v>
      </c>
      <c r="E82" s="1" t="s">
        <v>105</v>
      </c>
      <c r="F82" s="1" t="s">
        <v>106</v>
      </c>
      <c r="G82" s="39" t="s">
        <v>46</v>
      </c>
      <c r="H82" s="3">
        <v>3</v>
      </c>
      <c r="I82" s="3">
        <v>299.99</v>
      </c>
      <c r="J82" s="1" t="s">
        <v>20</v>
      </c>
      <c r="K82" s="1" t="s">
        <v>21</v>
      </c>
      <c r="L82" s="1" t="s">
        <v>22</v>
      </c>
      <c r="M82" s="2">
        <v>44732</v>
      </c>
      <c r="N82" s="43">
        <v>899.97</v>
      </c>
      <c r="O82" s="1" t="str">
        <f>TEXT(Sales_Data[[#This Row],[Date]],"mmm-yyyy")</f>
        <v>Jul-2024</v>
      </c>
      <c r="P82" s="1">
        <f>YEAR(Sales_Data[[#This Row],[Date]])</f>
        <v>2024</v>
      </c>
      <c r="Q82" s="13">
        <f t="shared" ca="1" si="5"/>
        <v>1555</v>
      </c>
      <c r="R82" s="1">
        <f t="shared" ca="1" si="6"/>
        <v>4</v>
      </c>
      <c r="S82" s="17">
        <f t="shared" si="7"/>
        <v>45504</v>
      </c>
      <c r="T82" s="1" t="str">
        <f t="shared" si="8"/>
        <v>Normal</v>
      </c>
      <c r="U82" s="20">
        <f t="shared" ca="1" si="9"/>
        <v>46287.029763888888</v>
      </c>
    </row>
    <row r="83" spans="1:21" ht="15.75" thickBot="1" x14ac:dyDescent="0.3">
      <c r="A83" s="4" t="s">
        <v>208</v>
      </c>
      <c r="B83" s="2">
        <v>45503</v>
      </c>
      <c r="C83" s="1" t="s">
        <v>86</v>
      </c>
      <c r="D83" s="1" t="s">
        <v>87</v>
      </c>
      <c r="E83" s="1" t="s">
        <v>80</v>
      </c>
      <c r="F83" s="1" t="s">
        <v>81</v>
      </c>
      <c r="G83" s="39" t="s">
        <v>19</v>
      </c>
      <c r="H83" s="3">
        <v>2</v>
      </c>
      <c r="I83" s="3">
        <v>699.99</v>
      </c>
      <c r="J83" s="1" t="s">
        <v>26</v>
      </c>
      <c r="K83" s="1" t="s">
        <v>40</v>
      </c>
      <c r="L83" s="1" t="s">
        <v>27</v>
      </c>
      <c r="M83" s="2">
        <v>44999</v>
      </c>
      <c r="N83" s="43">
        <v>1399.98</v>
      </c>
      <c r="O83" s="1" t="str">
        <f>TEXT(Sales_Data[[#This Row],[Date]],"mmm-yyyy")</f>
        <v>Jul-2024</v>
      </c>
      <c r="P83" s="1">
        <f>YEAR(Sales_Data[[#This Row],[Date]])</f>
        <v>2024</v>
      </c>
      <c r="Q83" s="13">
        <f t="shared" ca="1" si="5"/>
        <v>1288</v>
      </c>
      <c r="R83" s="1">
        <f t="shared" ca="1" si="6"/>
        <v>3</v>
      </c>
      <c r="S83" s="17">
        <f t="shared" si="7"/>
        <v>45504</v>
      </c>
      <c r="T83" s="1" t="str">
        <f t="shared" si="8"/>
        <v>High Value</v>
      </c>
      <c r="U83" s="20">
        <f t="shared" ca="1" si="9"/>
        <v>46287.029763888888</v>
      </c>
    </row>
    <row r="84" spans="1:21" ht="15.75" thickBot="1" x14ac:dyDescent="0.3">
      <c r="A84" s="4" t="s">
        <v>209</v>
      </c>
      <c r="B84" s="2">
        <v>45504</v>
      </c>
      <c r="C84" s="1" t="s">
        <v>120</v>
      </c>
      <c r="D84" s="1" t="s">
        <v>121</v>
      </c>
      <c r="E84" s="1" t="s">
        <v>61</v>
      </c>
      <c r="F84" s="1" t="s">
        <v>62</v>
      </c>
      <c r="G84" s="39" t="s">
        <v>19</v>
      </c>
      <c r="H84" s="3">
        <v>4</v>
      </c>
      <c r="I84" s="3">
        <v>899.99</v>
      </c>
      <c r="J84" s="1" t="s">
        <v>57</v>
      </c>
      <c r="K84" s="1" t="s">
        <v>35</v>
      </c>
      <c r="L84" s="1" t="s">
        <v>36</v>
      </c>
      <c r="M84" s="2">
        <v>44523</v>
      </c>
      <c r="N84" s="43">
        <v>3599.96</v>
      </c>
      <c r="O84" s="1" t="str">
        <f>TEXT(Sales_Data[[#This Row],[Date]],"mmm-yyyy")</f>
        <v>Jul-2024</v>
      </c>
      <c r="P84" s="1">
        <f>YEAR(Sales_Data[[#This Row],[Date]])</f>
        <v>2024</v>
      </c>
      <c r="Q84" s="13">
        <f t="shared" ca="1" si="5"/>
        <v>1764</v>
      </c>
      <c r="R84" s="1">
        <f t="shared" ca="1" si="6"/>
        <v>4</v>
      </c>
      <c r="S84" s="17">
        <f t="shared" si="7"/>
        <v>45504</v>
      </c>
      <c r="T84" s="1" t="str">
        <f t="shared" si="8"/>
        <v>High Value</v>
      </c>
      <c r="U84" s="20">
        <f t="shared" ca="1" si="9"/>
        <v>46287.029763888888</v>
      </c>
    </row>
    <row r="85" spans="1:21" ht="15.75" thickBot="1" x14ac:dyDescent="0.3">
      <c r="A85" s="4" t="s">
        <v>210</v>
      </c>
      <c r="B85" s="2">
        <v>45509</v>
      </c>
      <c r="C85" s="1" t="s">
        <v>211</v>
      </c>
      <c r="D85" s="1" t="s">
        <v>212</v>
      </c>
      <c r="E85" s="1" t="s">
        <v>44</v>
      </c>
      <c r="F85" s="1" t="s">
        <v>45</v>
      </c>
      <c r="G85" s="39" t="s">
        <v>46</v>
      </c>
      <c r="H85" s="3">
        <v>2</v>
      </c>
      <c r="I85" s="3">
        <v>149.99</v>
      </c>
      <c r="J85" s="1" t="s">
        <v>26</v>
      </c>
      <c r="K85" s="1" t="s">
        <v>50</v>
      </c>
      <c r="L85" s="1" t="s">
        <v>22</v>
      </c>
      <c r="M85" s="2">
        <v>44542</v>
      </c>
      <c r="N85" s="43">
        <v>299.98</v>
      </c>
      <c r="O85" s="1" t="str">
        <f>TEXT(Sales_Data[[#This Row],[Date]],"mmm-yyyy")</f>
        <v>Aug-2024</v>
      </c>
      <c r="P85" s="1">
        <f>YEAR(Sales_Data[[#This Row],[Date]])</f>
        <v>2024</v>
      </c>
      <c r="Q85" s="13">
        <f t="shared" ca="1" si="5"/>
        <v>1745</v>
      </c>
      <c r="R85" s="1">
        <f t="shared" ca="1" si="6"/>
        <v>4</v>
      </c>
      <c r="S85" s="17">
        <f t="shared" si="7"/>
        <v>45535</v>
      </c>
      <c r="T85" s="1" t="str">
        <f t="shared" si="8"/>
        <v>Normal</v>
      </c>
      <c r="U85" s="20">
        <f t="shared" ca="1" si="9"/>
        <v>46287.029763888888</v>
      </c>
    </row>
    <row r="86" spans="1:21" ht="15.75" thickBot="1" x14ac:dyDescent="0.3">
      <c r="A86" s="4" t="s">
        <v>213</v>
      </c>
      <c r="B86" s="2">
        <v>45510</v>
      </c>
      <c r="C86" s="1" t="s">
        <v>102</v>
      </c>
      <c r="D86" s="1" t="s">
        <v>103</v>
      </c>
      <c r="E86" s="1" t="s">
        <v>44</v>
      </c>
      <c r="F86" s="1" t="s">
        <v>45</v>
      </c>
      <c r="G86" s="39" t="s">
        <v>46</v>
      </c>
      <c r="H86" s="3">
        <v>2</v>
      </c>
      <c r="I86" s="3">
        <v>149.99</v>
      </c>
      <c r="J86" s="1" t="s">
        <v>57</v>
      </c>
      <c r="K86" s="1" t="s">
        <v>63</v>
      </c>
      <c r="L86" s="1" t="s">
        <v>36</v>
      </c>
      <c r="M86" s="2">
        <v>44667</v>
      </c>
      <c r="N86" s="43">
        <v>299.98</v>
      </c>
      <c r="O86" s="1" t="str">
        <f>TEXT(Sales_Data[[#This Row],[Date]],"mmm-yyyy")</f>
        <v>Aug-2024</v>
      </c>
      <c r="P86" s="1">
        <f>YEAR(Sales_Data[[#This Row],[Date]])</f>
        <v>2024</v>
      </c>
      <c r="Q86" s="13">
        <f t="shared" ca="1" si="5"/>
        <v>1620</v>
      </c>
      <c r="R86" s="1">
        <f t="shared" ca="1" si="6"/>
        <v>4</v>
      </c>
      <c r="S86" s="17">
        <f t="shared" si="7"/>
        <v>45535</v>
      </c>
      <c r="T86" s="1" t="str">
        <f t="shared" si="8"/>
        <v>Normal</v>
      </c>
      <c r="U86" s="20">
        <f t="shared" ca="1" si="9"/>
        <v>46287.029763888888</v>
      </c>
    </row>
    <row r="87" spans="1:21" ht="15.75" thickBot="1" x14ac:dyDescent="0.3">
      <c r="A87" s="4" t="s">
        <v>214</v>
      </c>
      <c r="B87" s="2">
        <v>45513</v>
      </c>
      <c r="C87" s="1" t="s">
        <v>89</v>
      </c>
      <c r="D87" s="1" t="s">
        <v>90</v>
      </c>
      <c r="E87" s="1" t="s">
        <v>117</v>
      </c>
      <c r="F87" s="1" t="s">
        <v>118</v>
      </c>
      <c r="G87" s="39" t="s">
        <v>19</v>
      </c>
      <c r="H87" s="3">
        <v>1</v>
      </c>
      <c r="I87" s="3">
        <v>89.99</v>
      </c>
      <c r="J87" s="1" t="s">
        <v>26</v>
      </c>
      <c r="K87" s="1" t="s">
        <v>40</v>
      </c>
      <c r="L87" s="1" t="s">
        <v>36</v>
      </c>
      <c r="M87" s="2">
        <v>45393</v>
      </c>
      <c r="N87" s="43">
        <v>89.99</v>
      </c>
      <c r="O87" s="1" t="str">
        <f>TEXT(Sales_Data[[#This Row],[Date]],"mmm-yyyy")</f>
        <v>Aug-2024</v>
      </c>
      <c r="P87" s="1">
        <f>YEAR(Sales_Data[[#This Row],[Date]])</f>
        <v>2024</v>
      </c>
      <c r="Q87" s="13">
        <f t="shared" ca="1" si="5"/>
        <v>894</v>
      </c>
      <c r="R87" s="1">
        <f t="shared" ca="1" si="6"/>
        <v>2</v>
      </c>
      <c r="S87" s="17">
        <f t="shared" si="7"/>
        <v>45535</v>
      </c>
      <c r="T87" s="1" t="str">
        <f t="shared" si="8"/>
        <v>Normal</v>
      </c>
      <c r="U87" s="20">
        <f t="shared" ca="1" si="9"/>
        <v>46287.029763888888</v>
      </c>
    </row>
    <row r="88" spans="1:21" ht="15.75" thickBot="1" x14ac:dyDescent="0.3">
      <c r="A88" s="4" t="s">
        <v>215</v>
      </c>
      <c r="B88" s="2">
        <v>45515</v>
      </c>
      <c r="C88" s="1" t="s">
        <v>86</v>
      </c>
      <c r="D88" s="1" t="s">
        <v>87</v>
      </c>
      <c r="E88" s="1" t="s">
        <v>105</v>
      </c>
      <c r="F88" s="1" t="s">
        <v>106</v>
      </c>
      <c r="G88" s="39" t="s">
        <v>46</v>
      </c>
      <c r="H88" s="3">
        <v>5</v>
      </c>
      <c r="I88" s="3">
        <v>299.99</v>
      </c>
      <c r="J88" s="1" t="s">
        <v>26</v>
      </c>
      <c r="K88" s="1" t="s">
        <v>40</v>
      </c>
      <c r="L88" s="1" t="s">
        <v>22</v>
      </c>
      <c r="M88" s="2">
        <v>44965</v>
      </c>
      <c r="N88" s="43">
        <v>1499.95</v>
      </c>
      <c r="O88" s="1" t="str">
        <f>TEXT(Sales_Data[[#This Row],[Date]],"mmm-yyyy")</f>
        <v>Aug-2024</v>
      </c>
      <c r="P88" s="1">
        <f>YEAR(Sales_Data[[#This Row],[Date]])</f>
        <v>2024</v>
      </c>
      <c r="Q88" s="13">
        <f t="shared" ca="1" si="5"/>
        <v>1322</v>
      </c>
      <c r="R88" s="1">
        <f t="shared" ca="1" si="6"/>
        <v>3</v>
      </c>
      <c r="S88" s="17">
        <f t="shared" si="7"/>
        <v>45535</v>
      </c>
      <c r="T88" s="1" t="str">
        <f t="shared" si="8"/>
        <v>High Value</v>
      </c>
      <c r="U88" s="20">
        <f t="shared" ca="1" si="9"/>
        <v>46287.029763888888</v>
      </c>
    </row>
    <row r="89" spans="1:21" ht="15.75" thickBot="1" x14ac:dyDescent="0.3">
      <c r="A89" s="4" t="s">
        <v>216</v>
      </c>
      <c r="B89" s="2">
        <v>45517</v>
      </c>
      <c r="C89" s="1" t="s">
        <v>182</v>
      </c>
      <c r="D89" s="1" t="s">
        <v>183</v>
      </c>
      <c r="E89" s="1" t="s">
        <v>52</v>
      </c>
      <c r="F89" s="1" t="s">
        <v>53</v>
      </c>
      <c r="G89" s="39" t="s">
        <v>19</v>
      </c>
      <c r="H89" s="3">
        <v>4</v>
      </c>
      <c r="I89" s="3">
        <v>149.99</v>
      </c>
      <c r="J89" s="1" t="s">
        <v>57</v>
      </c>
      <c r="K89" s="1" t="s">
        <v>35</v>
      </c>
      <c r="L89" s="1" t="s">
        <v>27</v>
      </c>
      <c r="M89" s="2">
        <v>44820</v>
      </c>
      <c r="N89" s="43">
        <v>599.96</v>
      </c>
      <c r="O89" s="1" t="str">
        <f>TEXT(Sales_Data[[#This Row],[Date]],"mmm-yyyy")</f>
        <v>Aug-2024</v>
      </c>
      <c r="P89" s="1">
        <f>YEAR(Sales_Data[[#This Row],[Date]])</f>
        <v>2024</v>
      </c>
      <c r="Q89" s="13">
        <f t="shared" ca="1" si="5"/>
        <v>1467</v>
      </c>
      <c r="R89" s="1">
        <f t="shared" ca="1" si="6"/>
        <v>4</v>
      </c>
      <c r="S89" s="17">
        <f t="shared" si="7"/>
        <v>45535</v>
      </c>
      <c r="T89" s="1" t="str">
        <f t="shared" si="8"/>
        <v>Normal</v>
      </c>
      <c r="U89" s="20">
        <f t="shared" ca="1" si="9"/>
        <v>46287.029763888888</v>
      </c>
    </row>
    <row r="90" spans="1:21" ht="15.75" thickBot="1" x14ac:dyDescent="0.3">
      <c r="A90" s="4" t="s">
        <v>217</v>
      </c>
      <c r="B90" s="2">
        <v>45517</v>
      </c>
      <c r="C90" s="1" t="s">
        <v>185</v>
      </c>
      <c r="D90" s="1" t="s">
        <v>186</v>
      </c>
      <c r="E90" s="1" t="s">
        <v>17</v>
      </c>
      <c r="F90" s="1" t="s">
        <v>18</v>
      </c>
      <c r="G90" s="39" t="s">
        <v>19</v>
      </c>
      <c r="H90" s="3">
        <v>5</v>
      </c>
      <c r="I90" s="3">
        <v>249.99</v>
      </c>
      <c r="J90" s="1" t="s">
        <v>34</v>
      </c>
      <c r="K90" s="1" t="s">
        <v>63</v>
      </c>
      <c r="L90" s="1" t="s">
        <v>27</v>
      </c>
      <c r="M90" s="2">
        <v>44782</v>
      </c>
      <c r="N90" s="43">
        <v>1249.95</v>
      </c>
      <c r="O90" s="1" t="str">
        <f>TEXT(Sales_Data[[#This Row],[Date]],"mmm-yyyy")</f>
        <v>Aug-2024</v>
      </c>
      <c r="P90" s="1">
        <f>YEAR(Sales_Data[[#This Row],[Date]])</f>
        <v>2024</v>
      </c>
      <c r="Q90" s="13">
        <f t="shared" ca="1" si="5"/>
        <v>1505</v>
      </c>
      <c r="R90" s="1">
        <f t="shared" ca="1" si="6"/>
        <v>4</v>
      </c>
      <c r="S90" s="17">
        <f t="shared" si="7"/>
        <v>45535</v>
      </c>
      <c r="T90" s="1" t="str">
        <f t="shared" si="8"/>
        <v>High Value</v>
      </c>
      <c r="U90" s="20">
        <f t="shared" ca="1" si="9"/>
        <v>46287.029763888888</v>
      </c>
    </row>
    <row r="91" spans="1:21" ht="15.75" thickBot="1" x14ac:dyDescent="0.3">
      <c r="A91" s="4" t="s">
        <v>218</v>
      </c>
      <c r="B91" s="2">
        <v>45517</v>
      </c>
      <c r="C91" s="1" t="s">
        <v>65</v>
      </c>
      <c r="D91" s="1" t="s">
        <v>66</v>
      </c>
      <c r="E91" s="1" t="s">
        <v>17</v>
      </c>
      <c r="F91" s="1" t="s">
        <v>18</v>
      </c>
      <c r="G91" s="39" t="s">
        <v>19</v>
      </c>
      <c r="H91" s="3">
        <v>3</v>
      </c>
      <c r="I91" s="3">
        <v>249.99</v>
      </c>
      <c r="J91" s="1" t="s">
        <v>34</v>
      </c>
      <c r="K91" s="1" t="s">
        <v>40</v>
      </c>
      <c r="L91" s="1" t="s">
        <v>27</v>
      </c>
      <c r="M91" s="2">
        <v>44465</v>
      </c>
      <c r="N91" s="43">
        <v>749.97</v>
      </c>
      <c r="O91" s="1" t="str">
        <f>TEXT(Sales_Data[[#This Row],[Date]],"mmm-yyyy")</f>
        <v>Aug-2024</v>
      </c>
      <c r="P91" s="1">
        <f>YEAR(Sales_Data[[#This Row],[Date]])</f>
        <v>2024</v>
      </c>
      <c r="Q91" s="13">
        <f t="shared" ca="1" si="5"/>
        <v>1822</v>
      </c>
      <c r="R91" s="1">
        <f t="shared" ca="1" si="6"/>
        <v>4</v>
      </c>
      <c r="S91" s="17">
        <f t="shared" si="7"/>
        <v>45535</v>
      </c>
      <c r="T91" s="1" t="str">
        <f t="shared" si="8"/>
        <v>Normal</v>
      </c>
      <c r="U91" s="20">
        <f t="shared" ca="1" si="9"/>
        <v>46287.029763888888</v>
      </c>
    </row>
    <row r="92" spans="1:21" ht="15.75" thickBot="1" x14ac:dyDescent="0.3">
      <c r="A92" s="4" t="s">
        <v>219</v>
      </c>
      <c r="B92" s="2">
        <v>45517</v>
      </c>
      <c r="C92" s="1" t="s">
        <v>38</v>
      </c>
      <c r="D92" s="1" t="s">
        <v>39</v>
      </c>
      <c r="E92" s="1" t="s">
        <v>126</v>
      </c>
      <c r="F92" s="1" t="s">
        <v>127</v>
      </c>
      <c r="G92" s="39" t="s">
        <v>46</v>
      </c>
      <c r="H92" s="3">
        <v>4</v>
      </c>
      <c r="I92" s="3">
        <v>199.99</v>
      </c>
      <c r="J92" s="1" t="s">
        <v>20</v>
      </c>
      <c r="K92" s="1" t="s">
        <v>40</v>
      </c>
      <c r="L92" s="1" t="s">
        <v>36</v>
      </c>
      <c r="M92" s="2">
        <v>44458</v>
      </c>
      <c r="N92" s="43">
        <v>799.96</v>
      </c>
      <c r="O92" s="1" t="str">
        <f>TEXT(Sales_Data[[#This Row],[Date]],"mmm-yyyy")</f>
        <v>Aug-2024</v>
      </c>
      <c r="P92" s="1">
        <f>YEAR(Sales_Data[[#This Row],[Date]])</f>
        <v>2024</v>
      </c>
      <c r="Q92" s="13">
        <f t="shared" ca="1" si="5"/>
        <v>1829</v>
      </c>
      <c r="R92" s="1">
        <f t="shared" ca="1" si="6"/>
        <v>5</v>
      </c>
      <c r="S92" s="17">
        <f t="shared" si="7"/>
        <v>45535</v>
      </c>
      <c r="T92" s="1" t="str">
        <f t="shared" si="8"/>
        <v>Normal</v>
      </c>
      <c r="U92" s="20">
        <f t="shared" ca="1" si="9"/>
        <v>46287.029763888888</v>
      </c>
    </row>
    <row r="93" spans="1:21" ht="15.75" thickBot="1" x14ac:dyDescent="0.3">
      <c r="A93" s="4" t="s">
        <v>220</v>
      </c>
      <c r="B93" s="2">
        <v>45519</v>
      </c>
      <c r="C93" s="1" t="s">
        <v>158</v>
      </c>
      <c r="D93" s="1" t="s">
        <v>159</v>
      </c>
      <c r="E93" s="1" t="s">
        <v>126</v>
      </c>
      <c r="F93" s="1" t="s">
        <v>127</v>
      </c>
      <c r="G93" s="39" t="s">
        <v>46</v>
      </c>
      <c r="H93" s="3">
        <v>5</v>
      </c>
      <c r="I93" s="3">
        <v>199.99</v>
      </c>
      <c r="J93" s="1" t="s">
        <v>20</v>
      </c>
      <c r="K93" s="1" t="s">
        <v>40</v>
      </c>
      <c r="L93" s="1" t="s">
        <v>27</v>
      </c>
      <c r="M93" s="2">
        <v>44991</v>
      </c>
      <c r="N93" s="43">
        <v>999.95</v>
      </c>
      <c r="O93" s="1" t="str">
        <f>TEXT(Sales_Data[[#This Row],[Date]],"mmm-yyyy")</f>
        <v>Aug-2024</v>
      </c>
      <c r="P93" s="1">
        <f>YEAR(Sales_Data[[#This Row],[Date]])</f>
        <v>2024</v>
      </c>
      <c r="Q93" s="13">
        <f t="shared" ca="1" si="5"/>
        <v>1296</v>
      </c>
      <c r="R93" s="1">
        <f t="shared" ca="1" si="6"/>
        <v>3</v>
      </c>
      <c r="S93" s="17">
        <f t="shared" si="7"/>
        <v>45535</v>
      </c>
      <c r="T93" s="1" t="str">
        <f t="shared" si="8"/>
        <v>Normal</v>
      </c>
      <c r="U93" s="20">
        <f t="shared" ca="1" si="9"/>
        <v>46287.029763888888</v>
      </c>
    </row>
    <row r="94" spans="1:21" ht="15.75" thickBot="1" x14ac:dyDescent="0.3">
      <c r="A94" s="4" t="s">
        <v>221</v>
      </c>
      <c r="B94" s="2">
        <v>45522</v>
      </c>
      <c r="C94" s="1" t="s">
        <v>86</v>
      </c>
      <c r="D94" s="1" t="s">
        <v>87</v>
      </c>
      <c r="E94" s="1" t="s">
        <v>117</v>
      </c>
      <c r="F94" s="1" t="s">
        <v>118</v>
      </c>
      <c r="G94" s="39" t="s">
        <v>19</v>
      </c>
      <c r="H94" s="3">
        <v>2</v>
      </c>
      <c r="I94" s="3">
        <v>89.99</v>
      </c>
      <c r="J94" s="1" t="s">
        <v>20</v>
      </c>
      <c r="K94" s="1" t="s">
        <v>63</v>
      </c>
      <c r="L94" s="1" t="s">
        <v>27</v>
      </c>
      <c r="M94" s="2">
        <v>44972</v>
      </c>
      <c r="N94" s="43">
        <v>179.98</v>
      </c>
      <c r="O94" s="1" t="str">
        <f>TEXT(Sales_Data[[#This Row],[Date]],"mmm-yyyy")</f>
        <v>Aug-2024</v>
      </c>
      <c r="P94" s="1">
        <f>YEAR(Sales_Data[[#This Row],[Date]])</f>
        <v>2024</v>
      </c>
      <c r="Q94" s="13">
        <f t="shared" ca="1" si="5"/>
        <v>1315</v>
      </c>
      <c r="R94" s="1">
        <f t="shared" ca="1" si="6"/>
        <v>3</v>
      </c>
      <c r="S94" s="17">
        <f t="shared" si="7"/>
        <v>45535</v>
      </c>
      <c r="T94" s="1" t="str">
        <f t="shared" si="8"/>
        <v>Normal</v>
      </c>
      <c r="U94" s="20">
        <f t="shared" ca="1" si="9"/>
        <v>46287.029763888888</v>
      </c>
    </row>
    <row r="95" spans="1:21" ht="15.75" thickBot="1" x14ac:dyDescent="0.3">
      <c r="A95" s="4" t="s">
        <v>222</v>
      </c>
      <c r="B95" s="2">
        <v>45523</v>
      </c>
      <c r="C95" s="1" t="s">
        <v>196</v>
      </c>
      <c r="D95" s="1" t="s">
        <v>197</v>
      </c>
      <c r="E95" s="1" t="s">
        <v>61</v>
      </c>
      <c r="F95" s="1" t="s">
        <v>62</v>
      </c>
      <c r="G95" s="39" t="s">
        <v>19</v>
      </c>
      <c r="H95" s="3">
        <v>5</v>
      </c>
      <c r="I95" s="3">
        <v>899.99</v>
      </c>
      <c r="J95" s="1" t="s">
        <v>57</v>
      </c>
      <c r="K95" s="1" t="s">
        <v>63</v>
      </c>
      <c r="L95" s="1" t="s">
        <v>22</v>
      </c>
      <c r="M95" s="2">
        <v>44526</v>
      </c>
      <c r="N95" s="43">
        <v>4499.95</v>
      </c>
      <c r="O95" s="1" t="str">
        <f>TEXT(Sales_Data[[#This Row],[Date]],"mmm-yyyy")</f>
        <v>Aug-2024</v>
      </c>
      <c r="P95" s="1">
        <f>YEAR(Sales_Data[[#This Row],[Date]])</f>
        <v>2024</v>
      </c>
      <c r="Q95" s="13">
        <f t="shared" ca="1" si="5"/>
        <v>1761</v>
      </c>
      <c r="R95" s="1">
        <f t="shared" ca="1" si="6"/>
        <v>4</v>
      </c>
      <c r="S95" s="17">
        <f t="shared" si="7"/>
        <v>45535</v>
      </c>
      <c r="T95" s="1" t="str">
        <f t="shared" si="8"/>
        <v>High Value</v>
      </c>
      <c r="U95" s="20">
        <f t="shared" ca="1" si="9"/>
        <v>46287.029763888888</v>
      </c>
    </row>
    <row r="96" spans="1:21" ht="15.75" thickBot="1" x14ac:dyDescent="0.3">
      <c r="A96" s="4" t="s">
        <v>223</v>
      </c>
      <c r="B96" s="2">
        <v>45523</v>
      </c>
      <c r="C96" s="1" t="s">
        <v>108</v>
      </c>
      <c r="D96" s="1" t="s">
        <v>109</v>
      </c>
      <c r="E96" s="1" t="s">
        <v>52</v>
      </c>
      <c r="F96" s="1" t="s">
        <v>53</v>
      </c>
      <c r="G96" s="39" t="s">
        <v>19</v>
      </c>
      <c r="H96" s="3">
        <v>3</v>
      </c>
      <c r="I96" s="3">
        <v>149.99</v>
      </c>
      <c r="J96" s="1" t="s">
        <v>34</v>
      </c>
      <c r="K96" s="1" t="s">
        <v>63</v>
      </c>
      <c r="L96" s="1" t="s">
        <v>22</v>
      </c>
      <c r="M96" s="2">
        <v>44574</v>
      </c>
      <c r="N96" s="43">
        <v>449.97</v>
      </c>
      <c r="O96" s="1" t="str">
        <f>TEXT(Sales_Data[[#This Row],[Date]],"mmm-yyyy")</f>
        <v>Aug-2024</v>
      </c>
      <c r="P96" s="1">
        <f>YEAR(Sales_Data[[#This Row],[Date]])</f>
        <v>2024</v>
      </c>
      <c r="Q96" s="13">
        <f t="shared" ca="1" si="5"/>
        <v>1713</v>
      </c>
      <c r="R96" s="1">
        <f t="shared" ca="1" si="6"/>
        <v>4</v>
      </c>
      <c r="S96" s="17">
        <f t="shared" si="7"/>
        <v>45535</v>
      </c>
      <c r="T96" s="1" t="str">
        <f t="shared" si="8"/>
        <v>Normal</v>
      </c>
      <c r="U96" s="20">
        <f t="shared" ca="1" si="9"/>
        <v>46287.029763888888</v>
      </c>
    </row>
    <row r="97" spans="1:21" ht="15.75" thickBot="1" x14ac:dyDescent="0.3">
      <c r="A97" s="4" t="s">
        <v>224</v>
      </c>
      <c r="B97" s="2">
        <v>45526</v>
      </c>
      <c r="C97" s="1" t="s">
        <v>102</v>
      </c>
      <c r="D97" s="1" t="s">
        <v>103</v>
      </c>
      <c r="E97" s="1" t="s">
        <v>44</v>
      </c>
      <c r="F97" s="1" t="s">
        <v>45</v>
      </c>
      <c r="G97" s="39" t="s">
        <v>46</v>
      </c>
      <c r="H97" s="3">
        <v>5</v>
      </c>
      <c r="I97" s="3">
        <v>149.99</v>
      </c>
      <c r="J97" s="1" t="s">
        <v>26</v>
      </c>
      <c r="K97" s="1" t="s">
        <v>21</v>
      </c>
      <c r="L97" s="1" t="s">
        <v>22</v>
      </c>
      <c r="M97" s="2">
        <v>45310</v>
      </c>
      <c r="N97" s="43">
        <v>749.95</v>
      </c>
      <c r="O97" s="1" t="str">
        <f>TEXT(Sales_Data[[#This Row],[Date]],"mmm-yyyy")</f>
        <v>Aug-2024</v>
      </c>
      <c r="P97" s="1">
        <f>YEAR(Sales_Data[[#This Row],[Date]])</f>
        <v>2024</v>
      </c>
      <c r="Q97" s="13">
        <f t="shared" ca="1" si="5"/>
        <v>977</v>
      </c>
      <c r="R97" s="1">
        <f t="shared" ca="1" si="6"/>
        <v>2</v>
      </c>
      <c r="S97" s="17">
        <f t="shared" si="7"/>
        <v>45535</v>
      </c>
      <c r="T97" s="1" t="str">
        <f t="shared" si="8"/>
        <v>Normal</v>
      </c>
      <c r="U97" s="20">
        <f t="shared" ca="1" si="9"/>
        <v>46287.029763888888</v>
      </c>
    </row>
    <row r="98" spans="1:21" ht="15.75" thickBot="1" x14ac:dyDescent="0.3">
      <c r="A98" s="4" t="s">
        <v>225</v>
      </c>
      <c r="B98" s="2">
        <v>45528</v>
      </c>
      <c r="C98" s="1" t="s">
        <v>226</v>
      </c>
      <c r="D98" s="1" t="s">
        <v>227</v>
      </c>
      <c r="E98" s="1" t="s">
        <v>114</v>
      </c>
      <c r="F98" s="1" t="s">
        <v>115</v>
      </c>
      <c r="G98" s="39" t="s">
        <v>33</v>
      </c>
      <c r="H98" s="3">
        <v>3</v>
      </c>
      <c r="I98" s="3">
        <v>79.989999999999995</v>
      </c>
      <c r="J98" s="1" t="s">
        <v>20</v>
      </c>
      <c r="K98" s="1" t="s">
        <v>21</v>
      </c>
      <c r="L98" s="1" t="s">
        <v>27</v>
      </c>
      <c r="M98" s="2">
        <v>44779</v>
      </c>
      <c r="N98" s="43">
        <v>239.97</v>
      </c>
      <c r="O98" s="1" t="str">
        <f>TEXT(Sales_Data[[#This Row],[Date]],"mmm-yyyy")</f>
        <v>Aug-2024</v>
      </c>
      <c r="P98" s="1">
        <f>YEAR(Sales_Data[[#This Row],[Date]])</f>
        <v>2024</v>
      </c>
      <c r="Q98" s="13">
        <f t="shared" ca="1" si="5"/>
        <v>1508</v>
      </c>
      <c r="R98" s="1">
        <f t="shared" ca="1" si="6"/>
        <v>4</v>
      </c>
      <c r="S98" s="17">
        <f t="shared" si="7"/>
        <v>45535</v>
      </c>
      <c r="T98" s="1" t="str">
        <f t="shared" si="8"/>
        <v>Normal</v>
      </c>
      <c r="U98" s="20">
        <f t="shared" ca="1" si="9"/>
        <v>46287.029763888888</v>
      </c>
    </row>
    <row r="99" spans="1:21" ht="15.75" thickBot="1" x14ac:dyDescent="0.3">
      <c r="A99" s="4" t="s">
        <v>228</v>
      </c>
      <c r="B99" s="2">
        <v>45528</v>
      </c>
      <c r="C99" s="1" t="s">
        <v>144</v>
      </c>
      <c r="D99" s="1" t="s">
        <v>145</v>
      </c>
      <c r="E99" s="1" t="s">
        <v>17</v>
      </c>
      <c r="F99" s="1" t="s">
        <v>18</v>
      </c>
      <c r="G99" s="39" t="s">
        <v>19</v>
      </c>
      <c r="H99" s="3">
        <v>2</v>
      </c>
      <c r="I99" s="3">
        <v>249.99</v>
      </c>
      <c r="J99" s="1" t="s">
        <v>20</v>
      </c>
      <c r="K99" s="1" t="s">
        <v>35</v>
      </c>
      <c r="L99" s="1" t="s">
        <v>36</v>
      </c>
      <c r="M99" s="2">
        <v>44572</v>
      </c>
      <c r="N99" s="43">
        <v>499.98</v>
      </c>
      <c r="O99" s="1" t="str">
        <f>TEXT(Sales_Data[[#This Row],[Date]],"mmm-yyyy")</f>
        <v>Aug-2024</v>
      </c>
      <c r="P99" s="1">
        <f>YEAR(Sales_Data[[#This Row],[Date]])</f>
        <v>2024</v>
      </c>
      <c r="Q99" s="13">
        <f t="shared" ca="1" si="5"/>
        <v>1715</v>
      </c>
      <c r="R99" s="1">
        <f t="shared" ca="1" si="6"/>
        <v>4</v>
      </c>
      <c r="S99" s="17">
        <f t="shared" si="7"/>
        <v>45535</v>
      </c>
      <c r="T99" s="1" t="str">
        <f t="shared" si="8"/>
        <v>Normal</v>
      </c>
      <c r="U99" s="20">
        <f t="shared" ca="1" si="9"/>
        <v>46287.029763888888</v>
      </c>
    </row>
    <row r="100" spans="1:21" ht="15.75" thickBot="1" x14ac:dyDescent="0.3">
      <c r="A100" s="4" t="s">
        <v>229</v>
      </c>
      <c r="B100" s="2">
        <v>45532</v>
      </c>
      <c r="C100" s="1" t="s">
        <v>196</v>
      </c>
      <c r="D100" s="1" t="s">
        <v>197</v>
      </c>
      <c r="E100" s="1" t="s">
        <v>80</v>
      </c>
      <c r="F100" s="1" t="s">
        <v>81</v>
      </c>
      <c r="G100" s="39" t="s">
        <v>19</v>
      </c>
      <c r="H100" s="3">
        <v>1</v>
      </c>
      <c r="I100" s="3">
        <v>699.99</v>
      </c>
      <c r="J100" s="1" t="s">
        <v>20</v>
      </c>
      <c r="K100" s="1" t="s">
        <v>21</v>
      </c>
      <c r="L100" s="1" t="s">
        <v>27</v>
      </c>
      <c r="M100" s="2">
        <v>44497</v>
      </c>
      <c r="N100" s="43">
        <v>699.99</v>
      </c>
      <c r="O100" s="1" t="str">
        <f>TEXT(Sales_Data[[#This Row],[Date]],"mmm-yyyy")</f>
        <v>Aug-2024</v>
      </c>
      <c r="P100" s="1">
        <f>YEAR(Sales_Data[[#This Row],[Date]])</f>
        <v>2024</v>
      </c>
      <c r="Q100" s="13">
        <f t="shared" ca="1" si="5"/>
        <v>1790</v>
      </c>
      <c r="R100" s="1">
        <f t="shared" ca="1" si="6"/>
        <v>4</v>
      </c>
      <c r="S100" s="17">
        <f t="shared" si="7"/>
        <v>45535</v>
      </c>
      <c r="T100" s="1" t="str">
        <f t="shared" si="8"/>
        <v>Normal</v>
      </c>
      <c r="U100" s="20">
        <f t="shared" ca="1" si="9"/>
        <v>46287.029763888888</v>
      </c>
    </row>
    <row r="101" spans="1:21" ht="15.75" thickBot="1" x14ac:dyDescent="0.3">
      <c r="A101" s="4" t="s">
        <v>230</v>
      </c>
      <c r="B101" s="2">
        <v>45532</v>
      </c>
      <c r="C101" s="1" t="s">
        <v>231</v>
      </c>
      <c r="D101" s="1" t="s">
        <v>232</v>
      </c>
      <c r="E101" s="1" t="s">
        <v>52</v>
      </c>
      <c r="F101" s="1" t="s">
        <v>53</v>
      </c>
      <c r="G101" s="39" t="s">
        <v>19</v>
      </c>
      <c r="H101" s="3">
        <v>3</v>
      </c>
      <c r="I101" s="3">
        <v>149.99</v>
      </c>
      <c r="J101" s="1" t="s">
        <v>20</v>
      </c>
      <c r="K101" s="1" t="s">
        <v>50</v>
      </c>
      <c r="L101" s="1" t="s">
        <v>27</v>
      </c>
      <c r="M101" s="2">
        <v>45212</v>
      </c>
      <c r="N101" s="43">
        <v>449.97</v>
      </c>
      <c r="O101" s="1" t="str">
        <f>TEXT(Sales_Data[[#This Row],[Date]],"mmm-yyyy")</f>
        <v>Aug-2024</v>
      </c>
      <c r="P101" s="1">
        <f>YEAR(Sales_Data[[#This Row],[Date]])</f>
        <v>2024</v>
      </c>
      <c r="Q101" s="13">
        <f t="shared" ca="1" si="5"/>
        <v>1075</v>
      </c>
      <c r="R101" s="1">
        <f t="shared" ca="1" si="6"/>
        <v>2</v>
      </c>
      <c r="S101" s="17">
        <f t="shared" si="7"/>
        <v>45535</v>
      </c>
      <c r="T101" s="1" t="str">
        <f t="shared" si="8"/>
        <v>Normal</v>
      </c>
      <c r="U101" s="20">
        <f t="shared" ca="1" si="9"/>
        <v>46287.029763888888</v>
      </c>
    </row>
    <row r="102" spans="1:21" ht="15.75" thickBot="1" x14ac:dyDescent="0.3">
      <c r="A102" s="4" t="s">
        <v>233</v>
      </c>
      <c r="B102" s="2">
        <v>45534</v>
      </c>
      <c r="C102" s="1" t="s">
        <v>234</v>
      </c>
      <c r="D102" s="1" t="s">
        <v>235</v>
      </c>
      <c r="E102" s="1" t="s">
        <v>80</v>
      </c>
      <c r="F102" s="1" t="s">
        <v>81</v>
      </c>
      <c r="G102" s="39" t="s">
        <v>19</v>
      </c>
      <c r="H102" s="3">
        <v>2</v>
      </c>
      <c r="I102" s="3">
        <v>699.99</v>
      </c>
      <c r="J102" s="1" t="s">
        <v>26</v>
      </c>
      <c r="K102" s="1" t="s">
        <v>40</v>
      </c>
      <c r="L102" s="1" t="s">
        <v>27</v>
      </c>
      <c r="M102" s="2">
        <v>44421</v>
      </c>
      <c r="N102" s="43">
        <v>1399.98</v>
      </c>
      <c r="O102" s="1" t="str">
        <f>TEXT(Sales_Data[[#This Row],[Date]],"mmm-yyyy")</f>
        <v>Aug-2024</v>
      </c>
      <c r="P102" s="1">
        <f>YEAR(Sales_Data[[#This Row],[Date]])</f>
        <v>2024</v>
      </c>
      <c r="Q102" s="13">
        <f t="shared" ca="1" si="5"/>
        <v>1866</v>
      </c>
      <c r="R102" s="1">
        <f t="shared" ca="1" si="6"/>
        <v>5</v>
      </c>
      <c r="S102" s="17">
        <f t="shared" si="7"/>
        <v>45535</v>
      </c>
      <c r="T102" s="1" t="str">
        <f t="shared" si="8"/>
        <v>High Value</v>
      </c>
      <c r="U102" s="20">
        <f t="shared" ca="1" si="9"/>
        <v>46287.029763888888</v>
      </c>
    </row>
    <row r="103" spans="1:21" ht="15.75" thickBot="1" x14ac:dyDescent="0.3">
      <c r="A103" s="4" t="s">
        <v>236</v>
      </c>
      <c r="B103" s="2">
        <v>45537</v>
      </c>
      <c r="C103" s="1" t="s">
        <v>231</v>
      </c>
      <c r="D103" s="1" t="s">
        <v>232</v>
      </c>
      <c r="E103" s="1" t="s">
        <v>17</v>
      </c>
      <c r="F103" s="1" t="s">
        <v>18</v>
      </c>
      <c r="G103" s="39" t="s">
        <v>19</v>
      </c>
      <c r="H103" s="3">
        <v>1</v>
      </c>
      <c r="I103" s="3">
        <v>249.99</v>
      </c>
      <c r="J103" s="1" t="s">
        <v>26</v>
      </c>
      <c r="K103" s="1" t="s">
        <v>50</v>
      </c>
      <c r="L103" s="1" t="s">
        <v>27</v>
      </c>
      <c r="M103" s="2">
        <v>44685</v>
      </c>
      <c r="N103" s="43">
        <v>249.99</v>
      </c>
      <c r="O103" s="1" t="str">
        <f>TEXT(Sales_Data[[#This Row],[Date]],"mmm-yyyy")</f>
        <v>Sep-2024</v>
      </c>
      <c r="P103" s="1">
        <f>YEAR(Sales_Data[[#This Row],[Date]])</f>
        <v>2024</v>
      </c>
      <c r="Q103" s="13">
        <f t="shared" ca="1" si="5"/>
        <v>1602</v>
      </c>
      <c r="R103" s="1">
        <f t="shared" ca="1" si="6"/>
        <v>4</v>
      </c>
      <c r="S103" s="17">
        <f t="shared" si="7"/>
        <v>45565</v>
      </c>
      <c r="T103" s="1" t="str">
        <f t="shared" si="8"/>
        <v>Normal</v>
      </c>
      <c r="U103" s="20">
        <f t="shared" ca="1" si="9"/>
        <v>46287.029763888888</v>
      </c>
    </row>
    <row r="104" spans="1:21" ht="15.75" thickBot="1" x14ac:dyDescent="0.3">
      <c r="A104" s="4" t="s">
        <v>237</v>
      </c>
      <c r="B104" s="2">
        <v>45537</v>
      </c>
      <c r="C104" s="1" t="s">
        <v>15</v>
      </c>
      <c r="D104" s="1" t="s">
        <v>16</v>
      </c>
      <c r="E104" s="1" t="s">
        <v>17</v>
      </c>
      <c r="F104" s="1" t="s">
        <v>18</v>
      </c>
      <c r="G104" s="39" t="s">
        <v>19</v>
      </c>
      <c r="H104" s="3">
        <v>1</v>
      </c>
      <c r="I104" s="3">
        <v>249.99</v>
      </c>
      <c r="J104" s="1" t="s">
        <v>57</v>
      </c>
      <c r="K104" s="1" t="s">
        <v>40</v>
      </c>
      <c r="L104" s="1" t="s">
        <v>27</v>
      </c>
      <c r="M104" s="2">
        <v>45332</v>
      </c>
      <c r="N104" s="43">
        <v>249.99</v>
      </c>
      <c r="O104" s="1" t="str">
        <f>TEXT(Sales_Data[[#This Row],[Date]],"mmm-yyyy")</f>
        <v>Sep-2024</v>
      </c>
      <c r="P104" s="1">
        <f>YEAR(Sales_Data[[#This Row],[Date]])</f>
        <v>2024</v>
      </c>
      <c r="Q104" s="13">
        <f t="shared" ca="1" si="5"/>
        <v>955</v>
      </c>
      <c r="R104" s="1">
        <f t="shared" ca="1" si="6"/>
        <v>2</v>
      </c>
      <c r="S104" s="17">
        <f t="shared" si="7"/>
        <v>45565</v>
      </c>
      <c r="T104" s="1" t="str">
        <f t="shared" si="8"/>
        <v>Normal</v>
      </c>
      <c r="U104" s="20">
        <f t="shared" ca="1" si="9"/>
        <v>46287.029763888888</v>
      </c>
    </row>
    <row r="105" spans="1:21" ht="15.75" thickBot="1" x14ac:dyDescent="0.3">
      <c r="A105" s="4" t="s">
        <v>238</v>
      </c>
      <c r="B105" s="2">
        <v>45538</v>
      </c>
      <c r="C105" s="1" t="s">
        <v>226</v>
      </c>
      <c r="D105" s="1" t="s">
        <v>227</v>
      </c>
      <c r="E105" s="1" t="s">
        <v>80</v>
      </c>
      <c r="F105" s="1" t="s">
        <v>81</v>
      </c>
      <c r="G105" s="39" t="s">
        <v>19</v>
      </c>
      <c r="H105" s="3">
        <v>2</v>
      </c>
      <c r="I105" s="3">
        <v>699.99</v>
      </c>
      <c r="J105" s="1" t="s">
        <v>57</v>
      </c>
      <c r="K105" s="1" t="s">
        <v>21</v>
      </c>
      <c r="L105" s="1" t="s">
        <v>27</v>
      </c>
      <c r="M105" s="2">
        <v>44870</v>
      </c>
      <c r="N105" s="43">
        <v>1399.98</v>
      </c>
      <c r="O105" s="1" t="str">
        <f>TEXT(Sales_Data[[#This Row],[Date]],"mmm-yyyy")</f>
        <v>Sep-2024</v>
      </c>
      <c r="P105" s="1">
        <f>YEAR(Sales_Data[[#This Row],[Date]])</f>
        <v>2024</v>
      </c>
      <c r="Q105" s="13">
        <f t="shared" ca="1" si="5"/>
        <v>1417</v>
      </c>
      <c r="R105" s="1">
        <f t="shared" ca="1" si="6"/>
        <v>3</v>
      </c>
      <c r="S105" s="17">
        <f t="shared" si="7"/>
        <v>45565</v>
      </c>
      <c r="T105" s="1" t="str">
        <f t="shared" si="8"/>
        <v>High Value</v>
      </c>
      <c r="U105" s="20">
        <f t="shared" ca="1" si="9"/>
        <v>46287.029763888888</v>
      </c>
    </row>
    <row r="106" spans="1:21" ht="15.75" thickBot="1" x14ac:dyDescent="0.3">
      <c r="A106" s="4" t="s">
        <v>239</v>
      </c>
      <c r="B106" s="2">
        <v>45541</v>
      </c>
      <c r="C106" s="1" t="s">
        <v>138</v>
      </c>
      <c r="D106" s="1" t="s">
        <v>139</v>
      </c>
      <c r="E106" s="1" t="s">
        <v>31</v>
      </c>
      <c r="F106" s="1" t="s">
        <v>32</v>
      </c>
      <c r="G106" s="39" t="s">
        <v>33</v>
      </c>
      <c r="H106" s="3">
        <v>3</v>
      </c>
      <c r="I106" s="3">
        <v>59.99</v>
      </c>
      <c r="J106" s="1" t="s">
        <v>26</v>
      </c>
      <c r="K106" s="1" t="s">
        <v>21</v>
      </c>
      <c r="L106" s="1" t="s">
        <v>27</v>
      </c>
      <c r="M106" s="2">
        <v>44717</v>
      </c>
      <c r="N106" s="43">
        <v>179.97</v>
      </c>
      <c r="O106" s="1" t="str">
        <f>TEXT(Sales_Data[[#This Row],[Date]],"mmm-yyyy")</f>
        <v>Sep-2024</v>
      </c>
      <c r="P106" s="1">
        <f>YEAR(Sales_Data[[#This Row],[Date]])</f>
        <v>2024</v>
      </c>
      <c r="Q106" s="13">
        <f t="shared" ca="1" si="5"/>
        <v>1570</v>
      </c>
      <c r="R106" s="1">
        <f t="shared" ca="1" si="6"/>
        <v>4</v>
      </c>
      <c r="S106" s="17">
        <f t="shared" si="7"/>
        <v>45565</v>
      </c>
      <c r="T106" s="1" t="str">
        <f t="shared" si="8"/>
        <v>Normal</v>
      </c>
      <c r="U106" s="20">
        <f t="shared" ca="1" si="9"/>
        <v>46287.029763888888</v>
      </c>
    </row>
    <row r="107" spans="1:21" ht="15.75" thickBot="1" x14ac:dyDescent="0.3">
      <c r="A107" s="4" t="s">
        <v>240</v>
      </c>
      <c r="B107" s="2">
        <v>45544</v>
      </c>
      <c r="C107" s="1" t="s">
        <v>132</v>
      </c>
      <c r="D107" s="1" t="s">
        <v>133</v>
      </c>
      <c r="E107" s="1" t="s">
        <v>31</v>
      </c>
      <c r="F107" s="1" t="s">
        <v>32</v>
      </c>
      <c r="G107" s="39" t="s">
        <v>33</v>
      </c>
      <c r="H107" s="3">
        <v>3</v>
      </c>
      <c r="I107" s="3">
        <v>59.99</v>
      </c>
      <c r="J107" s="1" t="s">
        <v>34</v>
      </c>
      <c r="K107" s="1" t="s">
        <v>63</v>
      </c>
      <c r="L107" s="1" t="s">
        <v>36</v>
      </c>
      <c r="M107" s="2">
        <v>44748</v>
      </c>
      <c r="N107" s="43">
        <v>179.97</v>
      </c>
      <c r="O107" s="1" t="str">
        <f>TEXT(Sales_Data[[#This Row],[Date]],"mmm-yyyy")</f>
        <v>Sep-2024</v>
      </c>
      <c r="P107" s="1">
        <f>YEAR(Sales_Data[[#This Row],[Date]])</f>
        <v>2024</v>
      </c>
      <c r="Q107" s="13">
        <f t="shared" ca="1" si="5"/>
        <v>1539</v>
      </c>
      <c r="R107" s="1">
        <f t="shared" ca="1" si="6"/>
        <v>4</v>
      </c>
      <c r="S107" s="17">
        <f t="shared" si="7"/>
        <v>45565</v>
      </c>
      <c r="T107" s="1" t="str">
        <f t="shared" si="8"/>
        <v>Normal</v>
      </c>
      <c r="U107" s="20">
        <f t="shared" ca="1" si="9"/>
        <v>46287.029763888888</v>
      </c>
    </row>
    <row r="108" spans="1:21" ht="15.75" thickBot="1" x14ac:dyDescent="0.3">
      <c r="A108" s="4" t="s">
        <v>241</v>
      </c>
      <c r="B108" s="2">
        <v>45544</v>
      </c>
      <c r="C108" s="1" t="s">
        <v>141</v>
      </c>
      <c r="D108" s="1" t="s">
        <v>142</v>
      </c>
      <c r="E108" s="1" t="s">
        <v>114</v>
      </c>
      <c r="F108" s="1" t="s">
        <v>115</v>
      </c>
      <c r="G108" s="39" t="s">
        <v>33</v>
      </c>
      <c r="H108" s="3">
        <v>4</v>
      </c>
      <c r="I108" s="3">
        <v>79.989999999999995</v>
      </c>
      <c r="J108" s="1" t="s">
        <v>20</v>
      </c>
      <c r="K108" s="1" t="s">
        <v>40</v>
      </c>
      <c r="L108" s="1" t="s">
        <v>22</v>
      </c>
      <c r="M108" s="2">
        <v>44530</v>
      </c>
      <c r="N108" s="43">
        <v>319.95999999999998</v>
      </c>
      <c r="O108" s="1" t="str">
        <f>TEXT(Sales_Data[[#This Row],[Date]],"mmm-yyyy")</f>
        <v>Sep-2024</v>
      </c>
      <c r="P108" s="1">
        <f>YEAR(Sales_Data[[#This Row],[Date]])</f>
        <v>2024</v>
      </c>
      <c r="Q108" s="13">
        <f t="shared" ca="1" si="5"/>
        <v>1757</v>
      </c>
      <c r="R108" s="1">
        <f t="shared" ca="1" si="6"/>
        <v>4</v>
      </c>
      <c r="S108" s="17">
        <f t="shared" si="7"/>
        <v>45565</v>
      </c>
      <c r="T108" s="1" t="str">
        <f t="shared" si="8"/>
        <v>Normal</v>
      </c>
      <c r="U108" s="20">
        <f t="shared" ca="1" si="9"/>
        <v>46287.029763888888</v>
      </c>
    </row>
    <row r="109" spans="1:21" ht="15.75" thickBot="1" x14ac:dyDescent="0.3">
      <c r="A109" s="4" t="s">
        <v>242</v>
      </c>
      <c r="B109" s="2">
        <v>45545</v>
      </c>
      <c r="C109" s="1" t="s">
        <v>55</v>
      </c>
      <c r="D109" s="1" t="s">
        <v>56</v>
      </c>
      <c r="E109" s="1" t="s">
        <v>114</v>
      </c>
      <c r="F109" s="1" t="s">
        <v>115</v>
      </c>
      <c r="G109" s="39" t="s">
        <v>33</v>
      </c>
      <c r="H109" s="3">
        <v>1</v>
      </c>
      <c r="I109" s="3">
        <v>79.989999999999995</v>
      </c>
      <c r="J109" s="1" t="s">
        <v>20</v>
      </c>
      <c r="K109" s="1" t="s">
        <v>50</v>
      </c>
      <c r="L109" s="1" t="s">
        <v>22</v>
      </c>
      <c r="M109" s="2">
        <v>44693</v>
      </c>
      <c r="N109" s="43">
        <v>79.989999999999995</v>
      </c>
      <c r="O109" s="1" t="str">
        <f>TEXT(Sales_Data[[#This Row],[Date]],"mmm-yyyy")</f>
        <v>Sep-2024</v>
      </c>
      <c r="P109" s="1">
        <f>YEAR(Sales_Data[[#This Row],[Date]])</f>
        <v>2024</v>
      </c>
      <c r="Q109" s="13">
        <f t="shared" ca="1" si="5"/>
        <v>1594</v>
      </c>
      <c r="R109" s="1">
        <f t="shared" ca="1" si="6"/>
        <v>4</v>
      </c>
      <c r="S109" s="17">
        <f t="shared" si="7"/>
        <v>45565</v>
      </c>
      <c r="T109" s="1" t="str">
        <f t="shared" si="8"/>
        <v>Normal</v>
      </c>
      <c r="U109" s="20">
        <f t="shared" ca="1" si="9"/>
        <v>46287.029763888888</v>
      </c>
    </row>
    <row r="110" spans="1:21" ht="15.75" thickBot="1" x14ac:dyDescent="0.3">
      <c r="A110" s="4" t="s">
        <v>243</v>
      </c>
      <c r="B110" s="2">
        <v>45547</v>
      </c>
      <c r="C110" s="1" t="s">
        <v>48</v>
      </c>
      <c r="D110" s="1" t="s">
        <v>49</v>
      </c>
      <c r="E110" s="1" t="s">
        <v>105</v>
      </c>
      <c r="F110" s="1" t="s">
        <v>106</v>
      </c>
      <c r="G110" s="39" t="s">
        <v>46</v>
      </c>
      <c r="H110" s="3">
        <v>3</v>
      </c>
      <c r="I110" s="3">
        <v>299.99</v>
      </c>
      <c r="J110" s="1" t="s">
        <v>26</v>
      </c>
      <c r="K110" s="1" t="s">
        <v>21</v>
      </c>
      <c r="L110" s="1" t="s">
        <v>27</v>
      </c>
      <c r="M110" s="2">
        <v>44494</v>
      </c>
      <c r="N110" s="43">
        <v>899.97</v>
      </c>
      <c r="O110" s="1" t="str">
        <f>TEXT(Sales_Data[[#This Row],[Date]],"mmm-yyyy")</f>
        <v>Sep-2024</v>
      </c>
      <c r="P110" s="1">
        <f>YEAR(Sales_Data[[#This Row],[Date]])</f>
        <v>2024</v>
      </c>
      <c r="Q110" s="13">
        <f t="shared" ca="1" si="5"/>
        <v>1793</v>
      </c>
      <c r="R110" s="1">
        <f t="shared" ca="1" si="6"/>
        <v>4</v>
      </c>
      <c r="S110" s="17">
        <f t="shared" si="7"/>
        <v>45565</v>
      </c>
      <c r="T110" s="1" t="str">
        <f t="shared" si="8"/>
        <v>Normal</v>
      </c>
      <c r="U110" s="20">
        <f t="shared" ca="1" si="9"/>
        <v>46287.029763888888</v>
      </c>
    </row>
    <row r="111" spans="1:21" ht="15.75" thickBot="1" x14ac:dyDescent="0.3">
      <c r="A111" s="4" t="s">
        <v>244</v>
      </c>
      <c r="B111" s="2">
        <v>45548</v>
      </c>
      <c r="C111" s="1" t="s">
        <v>38</v>
      </c>
      <c r="D111" s="1" t="s">
        <v>39</v>
      </c>
      <c r="E111" s="1" t="s">
        <v>117</v>
      </c>
      <c r="F111" s="1" t="s">
        <v>118</v>
      </c>
      <c r="G111" s="39" t="s">
        <v>19</v>
      </c>
      <c r="H111" s="3">
        <v>2</v>
      </c>
      <c r="I111" s="3">
        <v>89.99</v>
      </c>
      <c r="J111" s="1" t="s">
        <v>26</v>
      </c>
      <c r="K111" s="1" t="s">
        <v>35</v>
      </c>
      <c r="L111" s="1" t="s">
        <v>27</v>
      </c>
      <c r="M111" s="2">
        <v>44641</v>
      </c>
      <c r="N111" s="43">
        <v>179.98</v>
      </c>
      <c r="O111" s="1" t="str">
        <f>TEXT(Sales_Data[[#This Row],[Date]],"mmm-yyyy")</f>
        <v>Sep-2024</v>
      </c>
      <c r="P111" s="1">
        <f>YEAR(Sales_Data[[#This Row],[Date]])</f>
        <v>2024</v>
      </c>
      <c r="Q111" s="13">
        <f t="shared" ca="1" si="5"/>
        <v>1646</v>
      </c>
      <c r="R111" s="1">
        <f t="shared" ca="1" si="6"/>
        <v>4</v>
      </c>
      <c r="S111" s="17">
        <f t="shared" si="7"/>
        <v>45565</v>
      </c>
      <c r="T111" s="1" t="str">
        <f t="shared" si="8"/>
        <v>Normal</v>
      </c>
      <c r="U111" s="20">
        <f t="shared" ca="1" si="9"/>
        <v>46287.029763888888</v>
      </c>
    </row>
    <row r="112" spans="1:21" ht="15.75" thickBot="1" x14ac:dyDescent="0.3">
      <c r="A112" s="4" t="s">
        <v>245</v>
      </c>
      <c r="B112" s="2">
        <v>45550</v>
      </c>
      <c r="C112" s="1" t="s">
        <v>246</v>
      </c>
      <c r="D112" s="1" t="s">
        <v>247</v>
      </c>
      <c r="E112" s="1" t="s">
        <v>52</v>
      </c>
      <c r="F112" s="1" t="s">
        <v>53</v>
      </c>
      <c r="G112" s="39" t="s">
        <v>19</v>
      </c>
      <c r="H112" s="3">
        <v>4</v>
      </c>
      <c r="I112" s="3">
        <v>149.99</v>
      </c>
      <c r="J112" s="1" t="s">
        <v>20</v>
      </c>
      <c r="K112" s="1" t="s">
        <v>40</v>
      </c>
      <c r="L112" s="1" t="s">
        <v>22</v>
      </c>
      <c r="M112" s="2">
        <v>44909</v>
      </c>
      <c r="N112" s="43">
        <v>599.96</v>
      </c>
      <c r="O112" s="1" t="str">
        <f>TEXT(Sales_Data[[#This Row],[Date]],"mmm-yyyy")</f>
        <v>Sep-2024</v>
      </c>
      <c r="P112" s="1">
        <f>YEAR(Sales_Data[[#This Row],[Date]])</f>
        <v>2024</v>
      </c>
      <c r="Q112" s="13">
        <f t="shared" ca="1" si="5"/>
        <v>1378</v>
      </c>
      <c r="R112" s="1">
        <f t="shared" ca="1" si="6"/>
        <v>3</v>
      </c>
      <c r="S112" s="17">
        <f t="shared" si="7"/>
        <v>45565</v>
      </c>
      <c r="T112" s="1" t="str">
        <f t="shared" si="8"/>
        <v>Normal</v>
      </c>
      <c r="U112" s="20">
        <f t="shared" ca="1" si="9"/>
        <v>46287.029763888888</v>
      </c>
    </row>
    <row r="113" spans="1:21" ht="15.75" thickBot="1" x14ac:dyDescent="0.3">
      <c r="A113" s="4" t="s">
        <v>248</v>
      </c>
      <c r="B113" s="2">
        <v>45551</v>
      </c>
      <c r="C113" s="1" t="s">
        <v>65</v>
      </c>
      <c r="D113" s="1" t="s">
        <v>66</v>
      </c>
      <c r="E113" s="1" t="s">
        <v>17</v>
      </c>
      <c r="F113" s="1" t="s">
        <v>18</v>
      </c>
      <c r="G113" s="39" t="s">
        <v>19</v>
      </c>
      <c r="H113" s="3">
        <v>2</v>
      </c>
      <c r="I113" s="3">
        <v>249.99</v>
      </c>
      <c r="J113" s="1" t="s">
        <v>34</v>
      </c>
      <c r="K113" s="1" t="s">
        <v>35</v>
      </c>
      <c r="L113" s="1" t="s">
        <v>22</v>
      </c>
      <c r="M113" s="2">
        <v>44993</v>
      </c>
      <c r="N113" s="43">
        <v>499.98</v>
      </c>
      <c r="O113" s="1" t="str">
        <f>TEXT(Sales_Data[[#This Row],[Date]],"mmm-yyyy")</f>
        <v>Sep-2024</v>
      </c>
      <c r="P113" s="1">
        <f>YEAR(Sales_Data[[#This Row],[Date]])</f>
        <v>2024</v>
      </c>
      <c r="Q113" s="13">
        <f t="shared" ca="1" si="5"/>
        <v>1294</v>
      </c>
      <c r="R113" s="1">
        <f t="shared" ca="1" si="6"/>
        <v>3</v>
      </c>
      <c r="S113" s="17">
        <f t="shared" si="7"/>
        <v>45565</v>
      </c>
      <c r="T113" s="1" t="str">
        <f t="shared" si="8"/>
        <v>Normal</v>
      </c>
      <c r="U113" s="20">
        <f t="shared" ca="1" si="9"/>
        <v>46287.029763888888</v>
      </c>
    </row>
    <row r="114" spans="1:21" ht="15.75" thickBot="1" x14ac:dyDescent="0.3">
      <c r="A114" s="4" t="s">
        <v>249</v>
      </c>
      <c r="B114" s="2">
        <v>45551</v>
      </c>
      <c r="C114" s="1" t="s">
        <v>154</v>
      </c>
      <c r="D114" s="1" t="s">
        <v>155</v>
      </c>
      <c r="E114" s="1" t="s">
        <v>126</v>
      </c>
      <c r="F114" s="1" t="s">
        <v>127</v>
      </c>
      <c r="G114" s="39" t="s">
        <v>46</v>
      </c>
      <c r="H114" s="3">
        <v>4</v>
      </c>
      <c r="I114" s="3">
        <v>199.99</v>
      </c>
      <c r="J114" s="1" t="s">
        <v>57</v>
      </c>
      <c r="K114" s="1" t="s">
        <v>63</v>
      </c>
      <c r="L114" s="1" t="s">
        <v>22</v>
      </c>
      <c r="M114" s="2">
        <v>44458</v>
      </c>
      <c r="N114" s="43">
        <v>799.96</v>
      </c>
      <c r="O114" s="1" t="str">
        <f>TEXT(Sales_Data[[#This Row],[Date]],"mmm-yyyy")</f>
        <v>Sep-2024</v>
      </c>
      <c r="P114" s="1">
        <f>YEAR(Sales_Data[[#This Row],[Date]])</f>
        <v>2024</v>
      </c>
      <c r="Q114" s="13">
        <f t="shared" ca="1" si="5"/>
        <v>1829</v>
      </c>
      <c r="R114" s="1">
        <f t="shared" ca="1" si="6"/>
        <v>5</v>
      </c>
      <c r="S114" s="17">
        <f t="shared" si="7"/>
        <v>45565</v>
      </c>
      <c r="T114" s="1" t="str">
        <f t="shared" si="8"/>
        <v>Normal</v>
      </c>
      <c r="U114" s="20">
        <f t="shared" ca="1" si="9"/>
        <v>46287.029763888888</v>
      </c>
    </row>
    <row r="115" spans="1:21" ht="15.75" thickBot="1" x14ac:dyDescent="0.3">
      <c r="A115" s="4" t="s">
        <v>250</v>
      </c>
      <c r="B115" s="2">
        <v>45554</v>
      </c>
      <c r="C115" s="1" t="s">
        <v>147</v>
      </c>
      <c r="D115" s="1" t="s">
        <v>148</v>
      </c>
      <c r="E115" s="1" t="s">
        <v>117</v>
      </c>
      <c r="F115" s="1" t="s">
        <v>118</v>
      </c>
      <c r="G115" s="39" t="s">
        <v>19</v>
      </c>
      <c r="H115" s="3">
        <v>5</v>
      </c>
      <c r="I115" s="3">
        <v>89.99</v>
      </c>
      <c r="J115" s="1" t="s">
        <v>26</v>
      </c>
      <c r="K115" s="1" t="s">
        <v>63</v>
      </c>
      <c r="L115" s="1" t="s">
        <v>27</v>
      </c>
      <c r="M115" s="2">
        <v>44446</v>
      </c>
      <c r="N115" s="43">
        <v>449.95</v>
      </c>
      <c r="O115" s="1" t="str">
        <f>TEXT(Sales_Data[[#This Row],[Date]],"mmm-yyyy")</f>
        <v>Sep-2024</v>
      </c>
      <c r="P115" s="1">
        <f>YEAR(Sales_Data[[#This Row],[Date]])</f>
        <v>2024</v>
      </c>
      <c r="Q115" s="13">
        <f t="shared" ca="1" si="5"/>
        <v>1841</v>
      </c>
      <c r="R115" s="1">
        <f t="shared" ca="1" si="6"/>
        <v>5</v>
      </c>
      <c r="S115" s="17">
        <f t="shared" si="7"/>
        <v>45565</v>
      </c>
      <c r="T115" s="1" t="str">
        <f t="shared" si="8"/>
        <v>Normal</v>
      </c>
      <c r="U115" s="20">
        <f t="shared" ca="1" si="9"/>
        <v>46287.029763888888</v>
      </c>
    </row>
    <row r="116" spans="1:21" ht="15.75" thickBot="1" x14ac:dyDescent="0.3">
      <c r="A116" s="4" t="s">
        <v>251</v>
      </c>
      <c r="B116" s="2">
        <v>45554</v>
      </c>
      <c r="C116" s="1" t="s">
        <v>252</v>
      </c>
      <c r="D116" s="1" t="s">
        <v>253</v>
      </c>
      <c r="E116" s="1" t="s">
        <v>52</v>
      </c>
      <c r="F116" s="1" t="s">
        <v>53</v>
      </c>
      <c r="G116" s="39" t="s">
        <v>19</v>
      </c>
      <c r="H116" s="3">
        <v>1</v>
      </c>
      <c r="I116" s="3">
        <v>149.99</v>
      </c>
      <c r="J116" s="1" t="s">
        <v>34</v>
      </c>
      <c r="K116" s="1" t="s">
        <v>63</v>
      </c>
      <c r="L116" s="1" t="s">
        <v>36</v>
      </c>
      <c r="M116" s="2">
        <v>44482</v>
      </c>
      <c r="N116" s="43">
        <v>149.99</v>
      </c>
      <c r="O116" s="1" t="str">
        <f>TEXT(Sales_Data[[#This Row],[Date]],"mmm-yyyy")</f>
        <v>Sep-2024</v>
      </c>
      <c r="P116" s="1">
        <f>YEAR(Sales_Data[[#This Row],[Date]])</f>
        <v>2024</v>
      </c>
      <c r="Q116" s="13">
        <f t="shared" ca="1" si="5"/>
        <v>1805</v>
      </c>
      <c r="R116" s="1">
        <f t="shared" ca="1" si="6"/>
        <v>4</v>
      </c>
      <c r="S116" s="17">
        <f t="shared" si="7"/>
        <v>45565</v>
      </c>
      <c r="T116" s="1" t="str">
        <f t="shared" si="8"/>
        <v>Normal</v>
      </c>
      <c r="U116" s="20">
        <f t="shared" ca="1" si="9"/>
        <v>46287.029763888888</v>
      </c>
    </row>
    <row r="117" spans="1:21" ht="15.75" thickBot="1" x14ac:dyDescent="0.3">
      <c r="A117" s="4" t="s">
        <v>254</v>
      </c>
      <c r="B117" s="2">
        <v>45554</v>
      </c>
      <c r="C117" s="1" t="s">
        <v>72</v>
      </c>
      <c r="D117" s="1" t="s">
        <v>73</v>
      </c>
      <c r="E117" s="1" t="s">
        <v>80</v>
      </c>
      <c r="F117" s="1" t="s">
        <v>81</v>
      </c>
      <c r="G117" s="39" t="s">
        <v>19</v>
      </c>
      <c r="H117" s="3">
        <v>4</v>
      </c>
      <c r="I117" s="3">
        <v>699.99</v>
      </c>
      <c r="J117" s="1" t="s">
        <v>34</v>
      </c>
      <c r="K117" s="1" t="s">
        <v>35</v>
      </c>
      <c r="L117" s="1" t="s">
        <v>22</v>
      </c>
      <c r="M117" s="2">
        <v>44618</v>
      </c>
      <c r="N117" s="43">
        <v>2799.96</v>
      </c>
      <c r="O117" s="1" t="str">
        <f>TEXT(Sales_Data[[#This Row],[Date]],"mmm-yyyy")</f>
        <v>Sep-2024</v>
      </c>
      <c r="P117" s="1">
        <f>YEAR(Sales_Data[[#This Row],[Date]])</f>
        <v>2024</v>
      </c>
      <c r="Q117" s="13">
        <f t="shared" ca="1" si="5"/>
        <v>1669</v>
      </c>
      <c r="R117" s="1">
        <f t="shared" ca="1" si="6"/>
        <v>4</v>
      </c>
      <c r="S117" s="17">
        <f t="shared" si="7"/>
        <v>45565</v>
      </c>
      <c r="T117" s="1" t="str">
        <f t="shared" si="8"/>
        <v>High Value</v>
      </c>
      <c r="U117" s="20">
        <f t="shared" ca="1" si="9"/>
        <v>46287.029763888888</v>
      </c>
    </row>
    <row r="118" spans="1:21" ht="15.75" thickBot="1" x14ac:dyDescent="0.3">
      <c r="A118" s="4" t="s">
        <v>255</v>
      </c>
      <c r="B118" s="2">
        <v>45559</v>
      </c>
      <c r="C118" s="1" t="s">
        <v>234</v>
      </c>
      <c r="D118" s="1" t="s">
        <v>235</v>
      </c>
      <c r="E118" s="1" t="s">
        <v>61</v>
      </c>
      <c r="F118" s="1" t="s">
        <v>62</v>
      </c>
      <c r="G118" s="39" t="s">
        <v>19</v>
      </c>
      <c r="H118" s="3">
        <v>3</v>
      </c>
      <c r="I118" s="3">
        <v>899.99</v>
      </c>
      <c r="J118" s="1" t="s">
        <v>26</v>
      </c>
      <c r="K118" s="1" t="s">
        <v>40</v>
      </c>
      <c r="L118" s="1" t="s">
        <v>36</v>
      </c>
      <c r="M118" s="2">
        <v>45157</v>
      </c>
      <c r="N118" s="43">
        <v>2699.97</v>
      </c>
      <c r="O118" s="1" t="str">
        <f>TEXT(Sales_Data[[#This Row],[Date]],"mmm-yyyy")</f>
        <v>Sep-2024</v>
      </c>
      <c r="P118" s="1">
        <f>YEAR(Sales_Data[[#This Row],[Date]])</f>
        <v>2024</v>
      </c>
      <c r="Q118" s="13">
        <f t="shared" ca="1" si="5"/>
        <v>1130</v>
      </c>
      <c r="R118" s="1">
        <f t="shared" ca="1" si="6"/>
        <v>3</v>
      </c>
      <c r="S118" s="17">
        <f t="shared" si="7"/>
        <v>45565</v>
      </c>
      <c r="T118" s="1" t="str">
        <f t="shared" si="8"/>
        <v>High Value</v>
      </c>
      <c r="U118" s="20">
        <f t="shared" ca="1" si="9"/>
        <v>46287.029763888888</v>
      </c>
    </row>
    <row r="119" spans="1:21" ht="15.75" thickBot="1" x14ac:dyDescent="0.3">
      <c r="A119" s="4" t="s">
        <v>256</v>
      </c>
      <c r="B119" s="2">
        <v>45560</v>
      </c>
      <c r="C119" s="1" t="s">
        <v>112</v>
      </c>
      <c r="D119" s="1" t="s">
        <v>113</v>
      </c>
      <c r="E119" s="1" t="s">
        <v>44</v>
      </c>
      <c r="F119" s="1" t="s">
        <v>45</v>
      </c>
      <c r="G119" s="39" t="s">
        <v>46</v>
      </c>
      <c r="H119" s="3">
        <v>3</v>
      </c>
      <c r="I119" s="3">
        <v>149.99</v>
      </c>
      <c r="J119" s="1" t="s">
        <v>34</v>
      </c>
      <c r="K119" s="1" t="s">
        <v>63</v>
      </c>
      <c r="L119" s="1" t="s">
        <v>22</v>
      </c>
      <c r="M119" s="2">
        <v>44886</v>
      </c>
      <c r="N119" s="43">
        <v>449.97</v>
      </c>
      <c r="O119" s="1" t="str">
        <f>TEXT(Sales_Data[[#This Row],[Date]],"mmm-yyyy")</f>
        <v>Sep-2024</v>
      </c>
      <c r="P119" s="1">
        <f>YEAR(Sales_Data[[#This Row],[Date]])</f>
        <v>2024</v>
      </c>
      <c r="Q119" s="13">
        <f t="shared" ca="1" si="5"/>
        <v>1401</v>
      </c>
      <c r="R119" s="1">
        <f t="shared" ca="1" si="6"/>
        <v>3</v>
      </c>
      <c r="S119" s="17">
        <f t="shared" si="7"/>
        <v>45565</v>
      </c>
      <c r="T119" s="1" t="str">
        <f t="shared" si="8"/>
        <v>Normal</v>
      </c>
      <c r="U119" s="20">
        <f t="shared" ca="1" si="9"/>
        <v>46287.029763888888</v>
      </c>
    </row>
    <row r="120" spans="1:21" ht="15.75" thickBot="1" x14ac:dyDescent="0.3">
      <c r="A120" s="4" t="s">
        <v>257</v>
      </c>
      <c r="B120" s="2">
        <v>45563</v>
      </c>
      <c r="C120" s="1" t="s">
        <v>99</v>
      </c>
      <c r="D120" s="1" t="s">
        <v>100</v>
      </c>
      <c r="E120" s="1" t="s">
        <v>105</v>
      </c>
      <c r="F120" s="1" t="s">
        <v>106</v>
      </c>
      <c r="G120" s="39" t="s">
        <v>46</v>
      </c>
      <c r="H120" s="3">
        <v>2</v>
      </c>
      <c r="I120" s="3">
        <v>299.99</v>
      </c>
      <c r="J120" s="1" t="s">
        <v>57</v>
      </c>
      <c r="K120" s="1" t="s">
        <v>21</v>
      </c>
      <c r="L120" s="1" t="s">
        <v>22</v>
      </c>
      <c r="M120" s="2">
        <v>44569</v>
      </c>
      <c r="N120" s="43">
        <v>599.98</v>
      </c>
      <c r="O120" s="1" t="str">
        <f>TEXT(Sales_Data[[#This Row],[Date]],"mmm-yyyy")</f>
        <v>Sep-2024</v>
      </c>
      <c r="P120" s="1">
        <f>YEAR(Sales_Data[[#This Row],[Date]])</f>
        <v>2024</v>
      </c>
      <c r="Q120" s="13">
        <f t="shared" ca="1" si="5"/>
        <v>1718</v>
      </c>
      <c r="R120" s="1">
        <f t="shared" ca="1" si="6"/>
        <v>4</v>
      </c>
      <c r="S120" s="17">
        <f t="shared" si="7"/>
        <v>45565</v>
      </c>
      <c r="T120" s="1" t="str">
        <f t="shared" si="8"/>
        <v>Normal</v>
      </c>
      <c r="U120" s="20">
        <f t="shared" ca="1" si="9"/>
        <v>46287.029763888888</v>
      </c>
    </row>
    <row r="121" spans="1:21" ht="15.75" thickBot="1" x14ac:dyDescent="0.3">
      <c r="A121" s="4" t="s">
        <v>258</v>
      </c>
      <c r="B121" s="2">
        <v>45564</v>
      </c>
      <c r="C121" s="1" t="s">
        <v>259</v>
      </c>
      <c r="D121" s="1" t="s">
        <v>260</v>
      </c>
      <c r="E121" s="1" t="s">
        <v>126</v>
      </c>
      <c r="F121" s="1" t="s">
        <v>127</v>
      </c>
      <c r="G121" s="39" t="s">
        <v>46</v>
      </c>
      <c r="H121" s="3">
        <v>1</v>
      </c>
      <c r="I121" s="3">
        <v>199.99</v>
      </c>
      <c r="J121" s="1" t="s">
        <v>57</v>
      </c>
      <c r="K121" s="1" t="s">
        <v>63</v>
      </c>
      <c r="L121" s="1" t="s">
        <v>36</v>
      </c>
      <c r="M121" s="2">
        <v>44953</v>
      </c>
      <c r="N121" s="43">
        <v>199.99</v>
      </c>
      <c r="O121" s="1" t="str">
        <f>TEXT(Sales_Data[[#This Row],[Date]],"mmm-yyyy")</f>
        <v>Sep-2024</v>
      </c>
      <c r="P121" s="1">
        <f>YEAR(Sales_Data[[#This Row],[Date]])</f>
        <v>2024</v>
      </c>
      <c r="Q121" s="13">
        <f t="shared" ca="1" si="5"/>
        <v>1334</v>
      </c>
      <c r="R121" s="1">
        <f t="shared" ca="1" si="6"/>
        <v>3</v>
      </c>
      <c r="S121" s="17">
        <f t="shared" si="7"/>
        <v>45565</v>
      </c>
      <c r="T121" s="1" t="str">
        <f t="shared" si="8"/>
        <v>Normal</v>
      </c>
      <c r="U121" s="20">
        <f t="shared" ca="1" si="9"/>
        <v>46287.029763888888</v>
      </c>
    </row>
    <row r="122" spans="1:21" ht="15.75" thickBot="1" x14ac:dyDescent="0.3">
      <c r="A122" s="4" t="s">
        <v>261</v>
      </c>
      <c r="B122" s="2">
        <v>45566</v>
      </c>
      <c r="C122" s="1" t="s">
        <v>42</v>
      </c>
      <c r="D122" s="1" t="s">
        <v>43</v>
      </c>
      <c r="E122" s="1" t="s">
        <v>105</v>
      </c>
      <c r="F122" s="1" t="s">
        <v>106</v>
      </c>
      <c r="G122" s="39" t="s">
        <v>46</v>
      </c>
      <c r="H122" s="3">
        <v>4</v>
      </c>
      <c r="I122" s="3">
        <v>299.99</v>
      </c>
      <c r="J122" s="1" t="s">
        <v>20</v>
      </c>
      <c r="K122" s="1" t="s">
        <v>21</v>
      </c>
      <c r="L122" s="1" t="s">
        <v>27</v>
      </c>
      <c r="M122" s="2">
        <v>44460</v>
      </c>
      <c r="N122" s="43">
        <v>1199.96</v>
      </c>
      <c r="O122" s="1" t="str">
        <f>TEXT(Sales_Data[[#This Row],[Date]],"mmm-yyyy")</f>
        <v>Oct-2024</v>
      </c>
      <c r="P122" s="1">
        <f>YEAR(Sales_Data[[#This Row],[Date]])</f>
        <v>2024</v>
      </c>
      <c r="Q122" s="13">
        <f t="shared" ca="1" si="5"/>
        <v>1827</v>
      </c>
      <c r="R122" s="1">
        <f t="shared" ca="1" si="6"/>
        <v>5</v>
      </c>
      <c r="S122" s="17">
        <f t="shared" si="7"/>
        <v>45596</v>
      </c>
      <c r="T122" s="1" t="str">
        <f t="shared" si="8"/>
        <v>High Value</v>
      </c>
      <c r="U122" s="20">
        <f t="shared" ca="1" si="9"/>
        <v>46287.029763888888</v>
      </c>
    </row>
    <row r="123" spans="1:21" ht="15.75" thickBot="1" x14ac:dyDescent="0.3">
      <c r="A123" s="4" t="s">
        <v>262</v>
      </c>
      <c r="B123" s="2">
        <v>45572</v>
      </c>
      <c r="C123" s="1" t="s">
        <v>89</v>
      </c>
      <c r="D123" s="1" t="s">
        <v>90</v>
      </c>
      <c r="E123" s="1" t="s">
        <v>31</v>
      </c>
      <c r="F123" s="1" t="s">
        <v>32</v>
      </c>
      <c r="G123" s="39" t="s">
        <v>33</v>
      </c>
      <c r="H123" s="3">
        <v>2</v>
      </c>
      <c r="I123" s="3">
        <v>59.99</v>
      </c>
      <c r="J123" s="1" t="s">
        <v>26</v>
      </c>
      <c r="K123" s="1" t="s">
        <v>21</v>
      </c>
      <c r="L123" s="1" t="s">
        <v>22</v>
      </c>
      <c r="M123" s="2">
        <v>44579</v>
      </c>
      <c r="N123" s="43">
        <v>119.98</v>
      </c>
      <c r="O123" s="1" t="str">
        <f>TEXT(Sales_Data[[#This Row],[Date]],"mmm-yyyy")</f>
        <v>Oct-2024</v>
      </c>
      <c r="P123" s="1">
        <f>YEAR(Sales_Data[[#This Row],[Date]])</f>
        <v>2024</v>
      </c>
      <c r="Q123" s="13">
        <f t="shared" ca="1" si="5"/>
        <v>1708</v>
      </c>
      <c r="R123" s="1">
        <f t="shared" ca="1" si="6"/>
        <v>4</v>
      </c>
      <c r="S123" s="17">
        <f t="shared" si="7"/>
        <v>45596</v>
      </c>
      <c r="T123" s="1" t="str">
        <f t="shared" si="8"/>
        <v>Normal</v>
      </c>
      <c r="U123" s="20">
        <f t="shared" ca="1" si="9"/>
        <v>46287.029763888888</v>
      </c>
    </row>
    <row r="124" spans="1:21" ht="15.75" thickBot="1" x14ac:dyDescent="0.3">
      <c r="A124" s="4" t="s">
        <v>263</v>
      </c>
      <c r="B124" s="2">
        <v>45572</v>
      </c>
      <c r="C124" s="1" t="s">
        <v>234</v>
      </c>
      <c r="D124" s="1" t="s">
        <v>235</v>
      </c>
      <c r="E124" s="1" t="s">
        <v>52</v>
      </c>
      <c r="F124" s="1" t="s">
        <v>53</v>
      </c>
      <c r="G124" s="39" t="s">
        <v>19</v>
      </c>
      <c r="H124" s="3">
        <v>4</v>
      </c>
      <c r="I124" s="3">
        <v>149.99</v>
      </c>
      <c r="J124" s="1" t="s">
        <v>26</v>
      </c>
      <c r="K124" s="1" t="s">
        <v>40</v>
      </c>
      <c r="L124" s="1" t="s">
        <v>27</v>
      </c>
      <c r="M124" s="2">
        <v>45076</v>
      </c>
      <c r="N124" s="43">
        <v>599.96</v>
      </c>
      <c r="O124" s="1" t="str">
        <f>TEXT(Sales_Data[[#This Row],[Date]],"mmm-yyyy")</f>
        <v>Oct-2024</v>
      </c>
      <c r="P124" s="1">
        <f>YEAR(Sales_Data[[#This Row],[Date]])</f>
        <v>2024</v>
      </c>
      <c r="Q124" s="13">
        <f t="shared" ca="1" si="5"/>
        <v>1211</v>
      </c>
      <c r="R124" s="1">
        <f t="shared" ca="1" si="6"/>
        <v>3</v>
      </c>
      <c r="S124" s="17">
        <f t="shared" si="7"/>
        <v>45596</v>
      </c>
      <c r="T124" s="1" t="str">
        <f t="shared" si="8"/>
        <v>Normal</v>
      </c>
      <c r="U124" s="20">
        <f t="shared" ca="1" si="9"/>
        <v>46287.029763888888</v>
      </c>
    </row>
    <row r="125" spans="1:21" ht="15.75" thickBot="1" x14ac:dyDescent="0.3">
      <c r="A125" s="4" t="s">
        <v>264</v>
      </c>
      <c r="B125" s="2">
        <v>45573</v>
      </c>
      <c r="C125" s="1" t="s">
        <v>211</v>
      </c>
      <c r="D125" s="1" t="s">
        <v>212</v>
      </c>
      <c r="E125" s="1" t="s">
        <v>80</v>
      </c>
      <c r="F125" s="1" t="s">
        <v>81</v>
      </c>
      <c r="G125" s="39" t="s">
        <v>19</v>
      </c>
      <c r="H125" s="3">
        <v>2</v>
      </c>
      <c r="I125" s="3">
        <v>699.99</v>
      </c>
      <c r="J125" s="1" t="s">
        <v>57</v>
      </c>
      <c r="K125" s="1" t="s">
        <v>63</v>
      </c>
      <c r="L125" s="1" t="s">
        <v>27</v>
      </c>
      <c r="M125" s="2">
        <v>45274</v>
      </c>
      <c r="N125" s="43">
        <v>1399.98</v>
      </c>
      <c r="O125" s="1" t="str">
        <f>TEXT(Sales_Data[[#This Row],[Date]],"mmm-yyyy")</f>
        <v>Oct-2024</v>
      </c>
      <c r="P125" s="1">
        <f>YEAR(Sales_Data[[#This Row],[Date]])</f>
        <v>2024</v>
      </c>
      <c r="Q125" s="13">
        <f t="shared" ca="1" si="5"/>
        <v>1013</v>
      </c>
      <c r="R125" s="1">
        <f t="shared" ca="1" si="6"/>
        <v>2</v>
      </c>
      <c r="S125" s="17">
        <f t="shared" si="7"/>
        <v>45596</v>
      </c>
      <c r="T125" s="1" t="str">
        <f t="shared" si="8"/>
        <v>High Value</v>
      </c>
      <c r="U125" s="20">
        <f t="shared" ca="1" si="9"/>
        <v>46287.029763888888</v>
      </c>
    </row>
    <row r="126" spans="1:21" ht="15.75" thickBot="1" x14ac:dyDescent="0.3">
      <c r="A126" s="4" t="s">
        <v>265</v>
      </c>
      <c r="B126" s="2">
        <v>45573</v>
      </c>
      <c r="C126" s="1" t="s">
        <v>231</v>
      </c>
      <c r="D126" s="1" t="s">
        <v>232</v>
      </c>
      <c r="E126" s="1" t="s">
        <v>44</v>
      </c>
      <c r="F126" s="1" t="s">
        <v>45</v>
      </c>
      <c r="G126" s="39" t="s">
        <v>46</v>
      </c>
      <c r="H126" s="3">
        <v>3</v>
      </c>
      <c r="I126" s="3">
        <v>149.99</v>
      </c>
      <c r="J126" s="1" t="s">
        <v>26</v>
      </c>
      <c r="K126" s="1" t="s">
        <v>35</v>
      </c>
      <c r="L126" s="1" t="s">
        <v>36</v>
      </c>
      <c r="M126" s="2">
        <v>44940</v>
      </c>
      <c r="N126" s="43">
        <v>449.97</v>
      </c>
      <c r="O126" s="1" t="str">
        <f>TEXT(Sales_Data[[#This Row],[Date]],"mmm-yyyy")</f>
        <v>Oct-2024</v>
      </c>
      <c r="P126" s="1">
        <f>YEAR(Sales_Data[[#This Row],[Date]])</f>
        <v>2024</v>
      </c>
      <c r="Q126" s="13">
        <f t="shared" ca="1" si="5"/>
        <v>1347</v>
      </c>
      <c r="R126" s="1">
        <f t="shared" ca="1" si="6"/>
        <v>3</v>
      </c>
      <c r="S126" s="17">
        <f t="shared" si="7"/>
        <v>45596</v>
      </c>
      <c r="T126" s="1" t="str">
        <f t="shared" si="8"/>
        <v>Normal</v>
      </c>
      <c r="U126" s="20">
        <f t="shared" ca="1" si="9"/>
        <v>46287.029763888888</v>
      </c>
    </row>
    <row r="127" spans="1:21" ht="15.75" thickBot="1" x14ac:dyDescent="0.3">
      <c r="A127" s="4" t="s">
        <v>266</v>
      </c>
      <c r="B127" s="2">
        <v>45576</v>
      </c>
      <c r="C127" s="1" t="s">
        <v>147</v>
      </c>
      <c r="D127" s="1" t="s">
        <v>148</v>
      </c>
      <c r="E127" s="1" t="s">
        <v>105</v>
      </c>
      <c r="F127" s="1" t="s">
        <v>106</v>
      </c>
      <c r="G127" s="39" t="s">
        <v>46</v>
      </c>
      <c r="H127" s="3">
        <v>3</v>
      </c>
      <c r="I127" s="3">
        <v>299.99</v>
      </c>
      <c r="J127" s="1" t="s">
        <v>26</v>
      </c>
      <c r="K127" s="1" t="s">
        <v>21</v>
      </c>
      <c r="L127" s="1" t="s">
        <v>36</v>
      </c>
      <c r="M127" s="2">
        <v>45174</v>
      </c>
      <c r="N127" s="43">
        <v>899.97</v>
      </c>
      <c r="O127" s="1" t="str">
        <f>TEXT(Sales_Data[[#This Row],[Date]],"mmm-yyyy")</f>
        <v>Oct-2024</v>
      </c>
      <c r="P127" s="1">
        <f>YEAR(Sales_Data[[#This Row],[Date]])</f>
        <v>2024</v>
      </c>
      <c r="Q127" s="13">
        <f t="shared" ca="1" si="5"/>
        <v>1113</v>
      </c>
      <c r="R127" s="1">
        <f t="shared" ca="1" si="6"/>
        <v>3</v>
      </c>
      <c r="S127" s="17">
        <f t="shared" si="7"/>
        <v>45596</v>
      </c>
      <c r="T127" s="1" t="str">
        <f t="shared" si="8"/>
        <v>Normal</v>
      </c>
      <c r="U127" s="20">
        <f t="shared" ca="1" si="9"/>
        <v>46287.029763888888</v>
      </c>
    </row>
    <row r="128" spans="1:21" ht="15.75" thickBot="1" x14ac:dyDescent="0.3">
      <c r="A128" s="4" t="s">
        <v>267</v>
      </c>
      <c r="B128" s="2">
        <v>45579</v>
      </c>
      <c r="C128" s="1" t="s">
        <v>83</v>
      </c>
      <c r="D128" s="1" t="s">
        <v>84</v>
      </c>
      <c r="E128" s="1" t="s">
        <v>61</v>
      </c>
      <c r="F128" s="1" t="s">
        <v>62</v>
      </c>
      <c r="G128" s="39" t="s">
        <v>19</v>
      </c>
      <c r="H128" s="3">
        <v>3</v>
      </c>
      <c r="I128" s="3">
        <v>899.99</v>
      </c>
      <c r="J128" s="1" t="s">
        <v>34</v>
      </c>
      <c r="K128" s="1" t="s">
        <v>50</v>
      </c>
      <c r="L128" s="1" t="s">
        <v>22</v>
      </c>
      <c r="M128" s="2">
        <v>45215</v>
      </c>
      <c r="N128" s="43">
        <v>2699.97</v>
      </c>
      <c r="O128" s="1" t="str">
        <f>TEXT(Sales_Data[[#This Row],[Date]],"mmm-yyyy")</f>
        <v>Oct-2024</v>
      </c>
      <c r="P128" s="1">
        <f>YEAR(Sales_Data[[#This Row],[Date]])</f>
        <v>2024</v>
      </c>
      <c r="Q128" s="13">
        <f t="shared" ca="1" si="5"/>
        <v>1072</v>
      </c>
      <c r="R128" s="1">
        <f t="shared" ca="1" si="6"/>
        <v>2</v>
      </c>
      <c r="S128" s="17">
        <f t="shared" si="7"/>
        <v>45596</v>
      </c>
      <c r="T128" s="1" t="str">
        <f t="shared" si="8"/>
        <v>High Value</v>
      </c>
      <c r="U128" s="20">
        <f t="shared" ca="1" si="9"/>
        <v>46287.029763888888</v>
      </c>
    </row>
    <row r="129" spans="1:21" ht="15.75" thickBot="1" x14ac:dyDescent="0.3">
      <c r="A129" s="4" t="s">
        <v>268</v>
      </c>
      <c r="B129" s="2">
        <v>45581</v>
      </c>
      <c r="C129" s="1" t="s">
        <v>96</v>
      </c>
      <c r="D129" s="1" t="s">
        <v>97</v>
      </c>
      <c r="E129" s="1" t="s">
        <v>80</v>
      </c>
      <c r="F129" s="1" t="s">
        <v>81</v>
      </c>
      <c r="G129" s="39" t="s">
        <v>19</v>
      </c>
      <c r="H129" s="3">
        <v>5</v>
      </c>
      <c r="I129" s="3">
        <v>699.99</v>
      </c>
      <c r="J129" s="1" t="s">
        <v>20</v>
      </c>
      <c r="K129" s="1" t="s">
        <v>63</v>
      </c>
      <c r="L129" s="1" t="s">
        <v>36</v>
      </c>
      <c r="M129" s="2">
        <v>45008</v>
      </c>
      <c r="N129" s="43">
        <v>3499.95</v>
      </c>
      <c r="O129" s="1" t="str">
        <f>TEXT(Sales_Data[[#This Row],[Date]],"mmm-yyyy")</f>
        <v>Oct-2024</v>
      </c>
      <c r="P129" s="1">
        <f>YEAR(Sales_Data[[#This Row],[Date]])</f>
        <v>2024</v>
      </c>
      <c r="Q129" s="13">
        <f t="shared" ca="1" si="5"/>
        <v>1279</v>
      </c>
      <c r="R129" s="1">
        <f t="shared" ca="1" si="6"/>
        <v>3</v>
      </c>
      <c r="S129" s="17">
        <f t="shared" si="7"/>
        <v>45596</v>
      </c>
      <c r="T129" s="1" t="str">
        <f t="shared" si="8"/>
        <v>High Value</v>
      </c>
      <c r="U129" s="20">
        <f t="shared" ca="1" si="9"/>
        <v>46287.029763888888</v>
      </c>
    </row>
    <row r="130" spans="1:21" ht="15.75" thickBot="1" x14ac:dyDescent="0.3">
      <c r="A130" s="4" t="s">
        <v>269</v>
      </c>
      <c r="B130" s="2">
        <v>45581</v>
      </c>
      <c r="C130" s="1" t="s">
        <v>171</v>
      </c>
      <c r="D130" s="1" t="s">
        <v>172</v>
      </c>
      <c r="E130" s="1" t="s">
        <v>80</v>
      </c>
      <c r="F130" s="1" t="s">
        <v>81</v>
      </c>
      <c r="G130" s="39" t="s">
        <v>19</v>
      </c>
      <c r="H130" s="3">
        <v>4</v>
      </c>
      <c r="I130" s="3">
        <v>699.99</v>
      </c>
      <c r="J130" s="1" t="s">
        <v>26</v>
      </c>
      <c r="K130" s="1" t="s">
        <v>21</v>
      </c>
      <c r="L130" s="1" t="s">
        <v>22</v>
      </c>
      <c r="M130" s="2">
        <v>45385</v>
      </c>
      <c r="N130" s="43">
        <v>2799.96</v>
      </c>
      <c r="O130" s="1" t="str">
        <f>TEXT(Sales_Data[[#This Row],[Date]],"mmm-yyyy")</f>
        <v>Oct-2024</v>
      </c>
      <c r="P130" s="1">
        <f>YEAR(Sales_Data[[#This Row],[Date]])</f>
        <v>2024</v>
      </c>
      <c r="Q130" s="13">
        <f t="shared" ref="Q130:Q193" ca="1" si="10">TODAY()-M130</f>
        <v>902</v>
      </c>
      <c r="R130" s="1">
        <f t="shared" ref="R130:R193" ca="1" si="11">DATEDIF(M130,TODAY(),"Y")</f>
        <v>2</v>
      </c>
      <c r="S130" s="17">
        <f t="shared" ref="S130:S193" si="12">EOMONTH(B130,0)</f>
        <v>45596</v>
      </c>
      <c r="T130" s="1" t="str">
        <f t="shared" ref="T130:T193" si="13">IF(N130&gt;=1000,"High Value","Normal")</f>
        <v>High Value</v>
      </c>
      <c r="U130" s="20">
        <f t="shared" ref="U130:U193" ca="1" si="14">NOW()</f>
        <v>46287.029763888888</v>
      </c>
    </row>
    <row r="131" spans="1:21" ht="15.75" thickBot="1" x14ac:dyDescent="0.3">
      <c r="A131" s="4" t="s">
        <v>270</v>
      </c>
      <c r="B131" s="2">
        <v>45581</v>
      </c>
      <c r="C131" s="1" t="s">
        <v>150</v>
      </c>
      <c r="D131" s="1" t="s">
        <v>151</v>
      </c>
      <c r="E131" s="1" t="s">
        <v>61</v>
      </c>
      <c r="F131" s="1" t="s">
        <v>62</v>
      </c>
      <c r="G131" s="39" t="s">
        <v>19</v>
      </c>
      <c r="H131" s="3">
        <v>1</v>
      </c>
      <c r="I131" s="3">
        <v>899.99</v>
      </c>
      <c r="J131" s="1" t="s">
        <v>26</v>
      </c>
      <c r="K131" s="1" t="s">
        <v>63</v>
      </c>
      <c r="L131" s="1" t="s">
        <v>36</v>
      </c>
      <c r="M131" s="2">
        <v>45369</v>
      </c>
      <c r="N131" s="43">
        <v>899.99</v>
      </c>
      <c r="O131" s="1" t="str">
        <f>TEXT(Sales_Data[[#This Row],[Date]],"mmm-yyyy")</f>
        <v>Oct-2024</v>
      </c>
      <c r="P131" s="1">
        <f>YEAR(Sales_Data[[#This Row],[Date]])</f>
        <v>2024</v>
      </c>
      <c r="Q131" s="13">
        <f t="shared" ca="1" si="10"/>
        <v>918</v>
      </c>
      <c r="R131" s="1">
        <f t="shared" ca="1" si="11"/>
        <v>2</v>
      </c>
      <c r="S131" s="17">
        <f t="shared" si="12"/>
        <v>45596</v>
      </c>
      <c r="T131" s="1" t="str">
        <f t="shared" si="13"/>
        <v>Normal</v>
      </c>
      <c r="U131" s="20">
        <f t="shared" ca="1" si="14"/>
        <v>46287.029763888888</v>
      </c>
    </row>
    <row r="132" spans="1:21" ht="15.75" thickBot="1" x14ac:dyDescent="0.3">
      <c r="A132" s="4" t="s">
        <v>271</v>
      </c>
      <c r="B132" s="2">
        <v>45583</v>
      </c>
      <c r="C132" s="1" t="s">
        <v>226</v>
      </c>
      <c r="D132" s="1" t="s">
        <v>227</v>
      </c>
      <c r="E132" s="1" t="s">
        <v>52</v>
      </c>
      <c r="F132" s="1" t="s">
        <v>53</v>
      </c>
      <c r="G132" s="39" t="s">
        <v>19</v>
      </c>
      <c r="H132" s="3">
        <v>2</v>
      </c>
      <c r="I132" s="3">
        <v>149.99</v>
      </c>
      <c r="J132" s="1" t="s">
        <v>26</v>
      </c>
      <c r="K132" s="1" t="s">
        <v>50</v>
      </c>
      <c r="L132" s="1" t="s">
        <v>22</v>
      </c>
      <c r="M132" s="2">
        <v>44916</v>
      </c>
      <c r="N132" s="43">
        <v>299.98</v>
      </c>
      <c r="O132" s="1" t="str">
        <f>TEXT(Sales_Data[[#This Row],[Date]],"mmm-yyyy")</f>
        <v>Oct-2024</v>
      </c>
      <c r="P132" s="1">
        <f>YEAR(Sales_Data[[#This Row],[Date]])</f>
        <v>2024</v>
      </c>
      <c r="Q132" s="13">
        <f t="shared" ca="1" si="10"/>
        <v>1371</v>
      </c>
      <c r="R132" s="1">
        <f t="shared" ca="1" si="11"/>
        <v>3</v>
      </c>
      <c r="S132" s="17">
        <f t="shared" si="12"/>
        <v>45596</v>
      </c>
      <c r="T132" s="1" t="str">
        <f t="shared" si="13"/>
        <v>Normal</v>
      </c>
      <c r="U132" s="20">
        <f t="shared" ca="1" si="14"/>
        <v>46287.029763888888</v>
      </c>
    </row>
    <row r="133" spans="1:21" ht="15.75" thickBot="1" x14ac:dyDescent="0.3">
      <c r="A133" s="4" t="s">
        <v>272</v>
      </c>
      <c r="B133" s="2">
        <v>45586</v>
      </c>
      <c r="C133" s="1" t="s">
        <v>226</v>
      </c>
      <c r="D133" s="1" t="s">
        <v>227</v>
      </c>
      <c r="E133" s="1" t="s">
        <v>117</v>
      </c>
      <c r="F133" s="1" t="s">
        <v>118</v>
      </c>
      <c r="G133" s="39" t="s">
        <v>19</v>
      </c>
      <c r="H133" s="3">
        <v>3</v>
      </c>
      <c r="I133" s="3">
        <v>89.99</v>
      </c>
      <c r="J133" s="1" t="s">
        <v>34</v>
      </c>
      <c r="K133" s="1" t="s">
        <v>21</v>
      </c>
      <c r="L133" s="1" t="s">
        <v>22</v>
      </c>
      <c r="M133" s="2">
        <v>44551</v>
      </c>
      <c r="N133" s="43">
        <v>269.97000000000003</v>
      </c>
      <c r="O133" s="1" t="str">
        <f>TEXT(Sales_Data[[#This Row],[Date]],"mmm-yyyy")</f>
        <v>Oct-2024</v>
      </c>
      <c r="P133" s="1">
        <f>YEAR(Sales_Data[[#This Row],[Date]])</f>
        <v>2024</v>
      </c>
      <c r="Q133" s="13">
        <f t="shared" ca="1" si="10"/>
        <v>1736</v>
      </c>
      <c r="R133" s="1">
        <f t="shared" ca="1" si="11"/>
        <v>4</v>
      </c>
      <c r="S133" s="17">
        <f t="shared" si="12"/>
        <v>45596</v>
      </c>
      <c r="T133" s="1" t="str">
        <f t="shared" si="13"/>
        <v>Normal</v>
      </c>
      <c r="U133" s="20">
        <f t="shared" ca="1" si="14"/>
        <v>46287.029763888888</v>
      </c>
    </row>
    <row r="134" spans="1:21" ht="15.75" thickBot="1" x14ac:dyDescent="0.3">
      <c r="A134" s="4" t="s">
        <v>273</v>
      </c>
      <c r="B134" s="2">
        <v>45588</v>
      </c>
      <c r="C134" s="1" t="s">
        <v>38</v>
      </c>
      <c r="D134" s="1" t="s">
        <v>39</v>
      </c>
      <c r="E134" s="1" t="s">
        <v>52</v>
      </c>
      <c r="F134" s="1" t="s">
        <v>53</v>
      </c>
      <c r="G134" s="39" t="s">
        <v>19</v>
      </c>
      <c r="H134" s="3">
        <v>2</v>
      </c>
      <c r="I134" s="3">
        <v>149.99</v>
      </c>
      <c r="J134" s="1" t="s">
        <v>34</v>
      </c>
      <c r="K134" s="1" t="s">
        <v>21</v>
      </c>
      <c r="L134" s="1" t="s">
        <v>22</v>
      </c>
      <c r="M134" s="2">
        <v>44473</v>
      </c>
      <c r="N134" s="43">
        <v>299.98</v>
      </c>
      <c r="O134" s="1" t="str">
        <f>TEXT(Sales_Data[[#This Row],[Date]],"mmm-yyyy")</f>
        <v>Oct-2024</v>
      </c>
      <c r="P134" s="1">
        <f>YEAR(Sales_Data[[#This Row],[Date]])</f>
        <v>2024</v>
      </c>
      <c r="Q134" s="13">
        <f t="shared" ca="1" si="10"/>
        <v>1814</v>
      </c>
      <c r="R134" s="1">
        <f t="shared" ca="1" si="11"/>
        <v>4</v>
      </c>
      <c r="S134" s="17">
        <f t="shared" si="12"/>
        <v>45596</v>
      </c>
      <c r="T134" s="1" t="str">
        <f t="shared" si="13"/>
        <v>Normal</v>
      </c>
      <c r="U134" s="20">
        <f t="shared" ca="1" si="14"/>
        <v>46287.029763888888</v>
      </c>
    </row>
    <row r="135" spans="1:21" ht="15.75" thickBot="1" x14ac:dyDescent="0.3">
      <c r="A135" s="4" t="s">
        <v>274</v>
      </c>
      <c r="B135" s="2">
        <v>45588</v>
      </c>
      <c r="C135" s="1" t="s">
        <v>154</v>
      </c>
      <c r="D135" s="1" t="s">
        <v>155</v>
      </c>
      <c r="E135" s="1" t="s">
        <v>80</v>
      </c>
      <c r="F135" s="1" t="s">
        <v>81</v>
      </c>
      <c r="G135" s="39" t="s">
        <v>19</v>
      </c>
      <c r="H135" s="3">
        <v>2</v>
      </c>
      <c r="I135" s="3">
        <v>699.99</v>
      </c>
      <c r="J135" s="1" t="s">
        <v>20</v>
      </c>
      <c r="K135" s="1" t="s">
        <v>21</v>
      </c>
      <c r="L135" s="1" t="s">
        <v>22</v>
      </c>
      <c r="M135" s="2">
        <v>44992</v>
      </c>
      <c r="N135" s="43">
        <v>1399.98</v>
      </c>
      <c r="O135" s="1" t="str">
        <f>TEXT(Sales_Data[[#This Row],[Date]],"mmm-yyyy")</f>
        <v>Oct-2024</v>
      </c>
      <c r="P135" s="1">
        <f>YEAR(Sales_Data[[#This Row],[Date]])</f>
        <v>2024</v>
      </c>
      <c r="Q135" s="13">
        <f t="shared" ca="1" si="10"/>
        <v>1295</v>
      </c>
      <c r="R135" s="1">
        <f t="shared" ca="1" si="11"/>
        <v>3</v>
      </c>
      <c r="S135" s="17">
        <f t="shared" si="12"/>
        <v>45596</v>
      </c>
      <c r="T135" s="1" t="str">
        <f t="shared" si="13"/>
        <v>High Value</v>
      </c>
      <c r="U135" s="20">
        <f t="shared" ca="1" si="14"/>
        <v>46287.029763888888</v>
      </c>
    </row>
    <row r="136" spans="1:21" ht="15.75" thickBot="1" x14ac:dyDescent="0.3">
      <c r="A136" s="4" t="s">
        <v>275</v>
      </c>
      <c r="B136" s="2">
        <v>45589</v>
      </c>
      <c r="C136" s="1" t="s">
        <v>158</v>
      </c>
      <c r="D136" s="1" t="s">
        <v>159</v>
      </c>
      <c r="E136" s="1" t="s">
        <v>80</v>
      </c>
      <c r="F136" s="1" t="s">
        <v>81</v>
      </c>
      <c r="G136" s="39" t="s">
        <v>19</v>
      </c>
      <c r="H136" s="3">
        <v>5</v>
      </c>
      <c r="I136" s="3">
        <v>699.99</v>
      </c>
      <c r="J136" s="1" t="s">
        <v>20</v>
      </c>
      <c r="K136" s="1" t="s">
        <v>40</v>
      </c>
      <c r="L136" s="1" t="s">
        <v>27</v>
      </c>
      <c r="M136" s="2">
        <v>44635</v>
      </c>
      <c r="N136" s="43">
        <v>3499.95</v>
      </c>
      <c r="O136" s="1" t="str">
        <f>TEXT(Sales_Data[[#This Row],[Date]],"mmm-yyyy")</f>
        <v>Oct-2024</v>
      </c>
      <c r="P136" s="1">
        <f>YEAR(Sales_Data[[#This Row],[Date]])</f>
        <v>2024</v>
      </c>
      <c r="Q136" s="13">
        <f t="shared" ca="1" si="10"/>
        <v>1652</v>
      </c>
      <c r="R136" s="1">
        <f t="shared" ca="1" si="11"/>
        <v>4</v>
      </c>
      <c r="S136" s="17">
        <f t="shared" si="12"/>
        <v>45596</v>
      </c>
      <c r="T136" s="1" t="str">
        <f t="shared" si="13"/>
        <v>High Value</v>
      </c>
      <c r="U136" s="20">
        <f t="shared" ca="1" si="14"/>
        <v>46287.029763888888</v>
      </c>
    </row>
    <row r="137" spans="1:21" ht="15.75" thickBot="1" x14ac:dyDescent="0.3">
      <c r="A137" s="4" t="s">
        <v>276</v>
      </c>
      <c r="B137" s="2">
        <v>45592</v>
      </c>
      <c r="C137" s="1" t="s">
        <v>171</v>
      </c>
      <c r="D137" s="1" t="s">
        <v>172</v>
      </c>
      <c r="E137" s="1" t="s">
        <v>117</v>
      </c>
      <c r="F137" s="1" t="s">
        <v>118</v>
      </c>
      <c r="G137" s="39" t="s">
        <v>19</v>
      </c>
      <c r="H137" s="3">
        <v>3</v>
      </c>
      <c r="I137" s="3">
        <v>89.99</v>
      </c>
      <c r="J137" s="1" t="s">
        <v>26</v>
      </c>
      <c r="K137" s="1" t="s">
        <v>40</v>
      </c>
      <c r="L137" s="1" t="s">
        <v>36</v>
      </c>
      <c r="M137" s="2">
        <v>44615</v>
      </c>
      <c r="N137" s="43">
        <v>269.97000000000003</v>
      </c>
      <c r="O137" s="1" t="str">
        <f>TEXT(Sales_Data[[#This Row],[Date]],"mmm-yyyy")</f>
        <v>Oct-2024</v>
      </c>
      <c r="P137" s="1">
        <f>YEAR(Sales_Data[[#This Row],[Date]])</f>
        <v>2024</v>
      </c>
      <c r="Q137" s="13">
        <f t="shared" ca="1" si="10"/>
        <v>1672</v>
      </c>
      <c r="R137" s="1">
        <f t="shared" ca="1" si="11"/>
        <v>4</v>
      </c>
      <c r="S137" s="17">
        <f t="shared" si="12"/>
        <v>45596</v>
      </c>
      <c r="T137" s="1" t="str">
        <f t="shared" si="13"/>
        <v>Normal</v>
      </c>
      <c r="U137" s="20">
        <f t="shared" ca="1" si="14"/>
        <v>46287.029763888888</v>
      </c>
    </row>
    <row r="138" spans="1:21" ht="15.75" thickBot="1" x14ac:dyDescent="0.3">
      <c r="A138" s="4" t="s">
        <v>277</v>
      </c>
      <c r="B138" s="2">
        <v>45597</v>
      </c>
      <c r="C138" s="1" t="s">
        <v>15</v>
      </c>
      <c r="D138" s="1" t="s">
        <v>16</v>
      </c>
      <c r="E138" s="1" t="s">
        <v>17</v>
      </c>
      <c r="F138" s="1" t="s">
        <v>18</v>
      </c>
      <c r="G138" s="39" t="s">
        <v>19</v>
      </c>
      <c r="H138" s="3">
        <v>5</v>
      </c>
      <c r="I138" s="3">
        <v>249.99</v>
      </c>
      <c r="J138" s="1" t="s">
        <v>26</v>
      </c>
      <c r="K138" s="1" t="s">
        <v>35</v>
      </c>
      <c r="L138" s="1" t="s">
        <v>36</v>
      </c>
      <c r="M138" s="2">
        <v>44881</v>
      </c>
      <c r="N138" s="43">
        <v>1249.95</v>
      </c>
      <c r="O138" s="1" t="str">
        <f>TEXT(Sales_Data[[#This Row],[Date]],"mmm-yyyy")</f>
        <v>Nov-2024</v>
      </c>
      <c r="P138" s="1">
        <f>YEAR(Sales_Data[[#This Row],[Date]])</f>
        <v>2024</v>
      </c>
      <c r="Q138" s="13">
        <f t="shared" ca="1" si="10"/>
        <v>1406</v>
      </c>
      <c r="R138" s="1">
        <f t="shared" ca="1" si="11"/>
        <v>3</v>
      </c>
      <c r="S138" s="17">
        <f t="shared" si="12"/>
        <v>45626</v>
      </c>
      <c r="T138" s="1" t="str">
        <f t="shared" si="13"/>
        <v>High Value</v>
      </c>
      <c r="U138" s="20">
        <f t="shared" ca="1" si="14"/>
        <v>46287.029763888888</v>
      </c>
    </row>
    <row r="139" spans="1:21" ht="15.75" thickBot="1" x14ac:dyDescent="0.3">
      <c r="A139" s="4" t="s">
        <v>278</v>
      </c>
      <c r="B139" s="2">
        <v>45600</v>
      </c>
      <c r="C139" s="1" t="s">
        <v>65</v>
      </c>
      <c r="D139" s="1" t="s">
        <v>66</v>
      </c>
      <c r="E139" s="1" t="s">
        <v>105</v>
      </c>
      <c r="F139" s="1" t="s">
        <v>106</v>
      </c>
      <c r="G139" s="39" t="s">
        <v>46</v>
      </c>
      <c r="H139" s="3">
        <v>3</v>
      </c>
      <c r="I139" s="3">
        <v>299.99</v>
      </c>
      <c r="J139" s="1" t="s">
        <v>26</v>
      </c>
      <c r="K139" s="1" t="s">
        <v>35</v>
      </c>
      <c r="L139" s="1" t="s">
        <v>36</v>
      </c>
      <c r="M139" s="2">
        <v>44502</v>
      </c>
      <c r="N139" s="43">
        <v>899.97</v>
      </c>
      <c r="O139" s="1" t="str">
        <f>TEXT(Sales_Data[[#This Row],[Date]],"mmm-yyyy")</f>
        <v>Nov-2024</v>
      </c>
      <c r="P139" s="1">
        <f>YEAR(Sales_Data[[#This Row],[Date]])</f>
        <v>2024</v>
      </c>
      <c r="Q139" s="13">
        <f t="shared" ca="1" si="10"/>
        <v>1785</v>
      </c>
      <c r="R139" s="1">
        <f t="shared" ca="1" si="11"/>
        <v>4</v>
      </c>
      <c r="S139" s="17">
        <f t="shared" si="12"/>
        <v>45626</v>
      </c>
      <c r="T139" s="1" t="str">
        <f t="shared" si="13"/>
        <v>Normal</v>
      </c>
      <c r="U139" s="20">
        <f t="shared" ca="1" si="14"/>
        <v>46287.029763888888</v>
      </c>
    </row>
    <row r="140" spans="1:21" ht="15.75" thickBot="1" x14ac:dyDescent="0.3">
      <c r="A140" s="4" t="s">
        <v>279</v>
      </c>
      <c r="B140" s="2">
        <v>45603</v>
      </c>
      <c r="C140" s="1" t="s">
        <v>99</v>
      </c>
      <c r="D140" s="1" t="s">
        <v>100</v>
      </c>
      <c r="E140" s="1" t="s">
        <v>117</v>
      </c>
      <c r="F140" s="1" t="s">
        <v>118</v>
      </c>
      <c r="G140" s="39" t="s">
        <v>19</v>
      </c>
      <c r="H140" s="3">
        <v>3</v>
      </c>
      <c r="I140" s="3">
        <v>89.99</v>
      </c>
      <c r="J140" s="1" t="s">
        <v>26</v>
      </c>
      <c r="K140" s="1" t="s">
        <v>40</v>
      </c>
      <c r="L140" s="1" t="s">
        <v>27</v>
      </c>
      <c r="M140" s="2">
        <v>44420</v>
      </c>
      <c r="N140" s="43">
        <v>269.97000000000003</v>
      </c>
      <c r="O140" s="1" t="str">
        <f>TEXT(Sales_Data[[#This Row],[Date]],"mmm-yyyy")</f>
        <v>Nov-2024</v>
      </c>
      <c r="P140" s="1">
        <f>YEAR(Sales_Data[[#This Row],[Date]])</f>
        <v>2024</v>
      </c>
      <c r="Q140" s="13">
        <f t="shared" ca="1" si="10"/>
        <v>1867</v>
      </c>
      <c r="R140" s="1">
        <f t="shared" ca="1" si="11"/>
        <v>5</v>
      </c>
      <c r="S140" s="17">
        <f t="shared" si="12"/>
        <v>45626</v>
      </c>
      <c r="T140" s="1" t="str">
        <f t="shared" si="13"/>
        <v>Normal</v>
      </c>
      <c r="U140" s="20">
        <f t="shared" ca="1" si="14"/>
        <v>46287.029763888888</v>
      </c>
    </row>
    <row r="141" spans="1:21" ht="15.75" thickBot="1" x14ac:dyDescent="0.3">
      <c r="A141" s="4" t="s">
        <v>280</v>
      </c>
      <c r="B141" s="2">
        <v>45604</v>
      </c>
      <c r="C141" s="1" t="s">
        <v>89</v>
      </c>
      <c r="D141" s="1" t="s">
        <v>90</v>
      </c>
      <c r="E141" s="1" t="s">
        <v>44</v>
      </c>
      <c r="F141" s="1" t="s">
        <v>45</v>
      </c>
      <c r="G141" s="39" t="s">
        <v>46</v>
      </c>
      <c r="H141" s="3">
        <v>2</v>
      </c>
      <c r="I141" s="3">
        <v>149.99</v>
      </c>
      <c r="J141" s="1" t="s">
        <v>26</v>
      </c>
      <c r="K141" s="1" t="s">
        <v>50</v>
      </c>
      <c r="L141" s="1" t="s">
        <v>27</v>
      </c>
      <c r="M141" s="2">
        <v>44848</v>
      </c>
      <c r="N141" s="43">
        <v>299.98</v>
      </c>
      <c r="O141" s="1" t="str">
        <f>TEXT(Sales_Data[[#This Row],[Date]],"mmm-yyyy")</f>
        <v>Nov-2024</v>
      </c>
      <c r="P141" s="1">
        <f>YEAR(Sales_Data[[#This Row],[Date]])</f>
        <v>2024</v>
      </c>
      <c r="Q141" s="13">
        <f t="shared" ca="1" si="10"/>
        <v>1439</v>
      </c>
      <c r="R141" s="1">
        <f t="shared" ca="1" si="11"/>
        <v>3</v>
      </c>
      <c r="S141" s="17">
        <f t="shared" si="12"/>
        <v>45626</v>
      </c>
      <c r="T141" s="1" t="str">
        <f t="shared" si="13"/>
        <v>Normal</v>
      </c>
      <c r="U141" s="20">
        <f t="shared" ca="1" si="14"/>
        <v>46287.029763888888</v>
      </c>
    </row>
    <row r="142" spans="1:21" ht="15.75" thickBot="1" x14ac:dyDescent="0.3">
      <c r="A142" s="4" t="s">
        <v>281</v>
      </c>
      <c r="B142" s="2">
        <v>45605</v>
      </c>
      <c r="C142" s="1" t="s">
        <v>185</v>
      </c>
      <c r="D142" s="1" t="s">
        <v>186</v>
      </c>
      <c r="E142" s="1" t="s">
        <v>17</v>
      </c>
      <c r="F142" s="1" t="s">
        <v>18</v>
      </c>
      <c r="G142" s="39" t="s">
        <v>19</v>
      </c>
      <c r="H142" s="3">
        <v>1</v>
      </c>
      <c r="I142" s="3">
        <v>249.99</v>
      </c>
      <c r="J142" s="1" t="s">
        <v>26</v>
      </c>
      <c r="K142" s="1" t="s">
        <v>40</v>
      </c>
      <c r="L142" s="1" t="s">
        <v>27</v>
      </c>
      <c r="M142" s="2">
        <v>44828</v>
      </c>
      <c r="N142" s="43">
        <v>249.99</v>
      </c>
      <c r="O142" s="1" t="str">
        <f>TEXT(Sales_Data[[#This Row],[Date]],"mmm-yyyy")</f>
        <v>Nov-2024</v>
      </c>
      <c r="P142" s="1">
        <f>YEAR(Sales_Data[[#This Row],[Date]])</f>
        <v>2024</v>
      </c>
      <c r="Q142" s="13">
        <f t="shared" ca="1" si="10"/>
        <v>1459</v>
      </c>
      <c r="R142" s="1">
        <f t="shared" ca="1" si="11"/>
        <v>3</v>
      </c>
      <c r="S142" s="17">
        <f t="shared" si="12"/>
        <v>45626</v>
      </c>
      <c r="T142" s="1" t="str">
        <f t="shared" si="13"/>
        <v>Normal</v>
      </c>
      <c r="U142" s="20">
        <f t="shared" ca="1" si="14"/>
        <v>46287.029763888888</v>
      </c>
    </row>
    <row r="143" spans="1:21" ht="15.75" thickBot="1" x14ac:dyDescent="0.3">
      <c r="A143" s="4" t="s">
        <v>282</v>
      </c>
      <c r="B143" s="2">
        <v>45607</v>
      </c>
      <c r="C143" s="1" t="s">
        <v>72</v>
      </c>
      <c r="D143" s="1" t="s">
        <v>73</v>
      </c>
      <c r="E143" s="1" t="s">
        <v>52</v>
      </c>
      <c r="F143" s="1" t="s">
        <v>53</v>
      </c>
      <c r="G143" s="39" t="s">
        <v>19</v>
      </c>
      <c r="H143" s="3">
        <v>3</v>
      </c>
      <c r="I143" s="3">
        <v>149.99</v>
      </c>
      <c r="J143" s="1" t="s">
        <v>20</v>
      </c>
      <c r="K143" s="1" t="s">
        <v>40</v>
      </c>
      <c r="L143" s="1" t="s">
        <v>22</v>
      </c>
      <c r="M143" s="2">
        <v>44769</v>
      </c>
      <c r="N143" s="43">
        <v>449.97</v>
      </c>
      <c r="O143" s="1" t="str">
        <f>TEXT(Sales_Data[[#This Row],[Date]],"mmm-yyyy")</f>
        <v>Nov-2024</v>
      </c>
      <c r="P143" s="1">
        <f>YEAR(Sales_Data[[#This Row],[Date]])</f>
        <v>2024</v>
      </c>
      <c r="Q143" s="13">
        <f t="shared" ca="1" si="10"/>
        <v>1518</v>
      </c>
      <c r="R143" s="1">
        <f t="shared" ca="1" si="11"/>
        <v>4</v>
      </c>
      <c r="S143" s="17">
        <f t="shared" si="12"/>
        <v>45626</v>
      </c>
      <c r="T143" s="1" t="str">
        <f t="shared" si="13"/>
        <v>Normal</v>
      </c>
      <c r="U143" s="20">
        <f t="shared" ca="1" si="14"/>
        <v>46287.029763888888</v>
      </c>
    </row>
    <row r="144" spans="1:21" ht="15.75" thickBot="1" x14ac:dyDescent="0.3">
      <c r="A144" s="4" t="s">
        <v>283</v>
      </c>
      <c r="B144" s="2">
        <v>45607</v>
      </c>
      <c r="C144" s="1" t="s">
        <v>15</v>
      </c>
      <c r="D144" s="1" t="s">
        <v>16</v>
      </c>
      <c r="E144" s="1" t="s">
        <v>31</v>
      </c>
      <c r="F144" s="1" t="s">
        <v>32</v>
      </c>
      <c r="G144" s="39" t="s">
        <v>33</v>
      </c>
      <c r="H144" s="3">
        <v>5</v>
      </c>
      <c r="I144" s="3">
        <v>59.99</v>
      </c>
      <c r="J144" s="1" t="s">
        <v>34</v>
      </c>
      <c r="K144" s="1" t="s">
        <v>50</v>
      </c>
      <c r="L144" s="1" t="s">
        <v>27</v>
      </c>
      <c r="M144" s="2">
        <v>44694</v>
      </c>
      <c r="N144" s="43">
        <v>299.95</v>
      </c>
      <c r="O144" s="1" t="str">
        <f>TEXT(Sales_Data[[#This Row],[Date]],"mmm-yyyy")</f>
        <v>Nov-2024</v>
      </c>
      <c r="P144" s="1">
        <f>YEAR(Sales_Data[[#This Row],[Date]])</f>
        <v>2024</v>
      </c>
      <c r="Q144" s="13">
        <f t="shared" ca="1" si="10"/>
        <v>1593</v>
      </c>
      <c r="R144" s="1">
        <f t="shared" ca="1" si="11"/>
        <v>4</v>
      </c>
      <c r="S144" s="17">
        <f t="shared" si="12"/>
        <v>45626</v>
      </c>
      <c r="T144" s="1" t="str">
        <f t="shared" si="13"/>
        <v>Normal</v>
      </c>
      <c r="U144" s="20">
        <f t="shared" ca="1" si="14"/>
        <v>46287.029763888888</v>
      </c>
    </row>
    <row r="145" spans="1:21" ht="15.75" thickBot="1" x14ac:dyDescent="0.3">
      <c r="A145" s="4" t="s">
        <v>284</v>
      </c>
      <c r="B145" s="2">
        <v>45607</v>
      </c>
      <c r="C145" s="1" t="s">
        <v>99</v>
      </c>
      <c r="D145" s="1" t="s">
        <v>100</v>
      </c>
      <c r="E145" s="1" t="s">
        <v>17</v>
      </c>
      <c r="F145" s="1" t="s">
        <v>18</v>
      </c>
      <c r="G145" s="39" t="s">
        <v>19</v>
      </c>
      <c r="H145" s="3">
        <v>4</v>
      </c>
      <c r="I145" s="3">
        <v>249.99</v>
      </c>
      <c r="J145" s="1" t="s">
        <v>26</v>
      </c>
      <c r="K145" s="1" t="s">
        <v>50</v>
      </c>
      <c r="L145" s="1" t="s">
        <v>36</v>
      </c>
      <c r="M145" s="2">
        <v>44659</v>
      </c>
      <c r="N145" s="43">
        <v>999.96</v>
      </c>
      <c r="O145" s="1" t="str">
        <f>TEXT(Sales_Data[[#This Row],[Date]],"mmm-yyyy")</f>
        <v>Nov-2024</v>
      </c>
      <c r="P145" s="1">
        <f>YEAR(Sales_Data[[#This Row],[Date]])</f>
        <v>2024</v>
      </c>
      <c r="Q145" s="13">
        <f t="shared" ca="1" si="10"/>
        <v>1628</v>
      </c>
      <c r="R145" s="1">
        <f t="shared" ca="1" si="11"/>
        <v>4</v>
      </c>
      <c r="S145" s="17">
        <f t="shared" si="12"/>
        <v>45626</v>
      </c>
      <c r="T145" s="1" t="str">
        <f t="shared" si="13"/>
        <v>Normal</v>
      </c>
      <c r="U145" s="20">
        <f t="shared" ca="1" si="14"/>
        <v>46287.029763888888</v>
      </c>
    </row>
    <row r="146" spans="1:21" ht="15.75" thickBot="1" x14ac:dyDescent="0.3">
      <c r="A146" s="4" t="s">
        <v>285</v>
      </c>
      <c r="B146" s="2">
        <v>45608</v>
      </c>
      <c r="C146" s="1" t="s">
        <v>154</v>
      </c>
      <c r="D146" s="1" t="s">
        <v>155</v>
      </c>
      <c r="E146" s="1" t="s">
        <v>44</v>
      </c>
      <c r="F146" s="1" t="s">
        <v>45</v>
      </c>
      <c r="G146" s="39" t="s">
        <v>46</v>
      </c>
      <c r="H146" s="3">
        <v>5</v>
      </c>
      <c r="I146" s="3">
        <v>149.99</v>
      </c>
      <c r="J146" s="1" t="s">
        <v>34</v>
      </c>
      <c r="K146" s="1" t="s">
        <v>21</v>
      </c>
      <c r="L146" s="1" t="s">
        <v>22</v>
      </c>
      <c r="M146" s="2">
        <v>44901</v>
      </c>
      <c r="N146" s="43">
        <v>749.95</v>
      </c>
      <c r="O146" s="1" t="str">
        <f>TEXT(Sales_Data[[#This Row],[Date]],"mmm-yyyy")</f>
        <v>Nov-2024</v>
      </c>
      <c r="P146" s="1">
        <f>YEAR(Sales_Data[[#This Row],[Date]])</f>
        <v>2024</v>
      </c>
      <c r="Q146" s="13">
        <f t="shared" ca="1" si="10"/>
        <v>1386</v>
      </c>
      <c r="R146" s="1">
        <f t="shared" ca="1" si="11"/>
        <v>3</v>
      </c>
      <c r="S146" s="17">
        <f t="shared" si="12"/>
        <v>45626</v>
      </c>
      <c r="T146" s="1" t="str">
        <f t="shared" si="13"/>
        <v>Normal</v>
      </c>
      <c r="U146" s="20">
        <f t="shared" ca="1" si="14"/>
        <v>46287.029763888888</v>
      </c>
    </row>
    <row r="147" spans="1:21" ht="15.75" thickBot="1" x14ac:dyDescent="0.3">
      <c r="A147" s="4" t="s">
        <v>286</v>
      </c>
      <c r="B147" s="2">
        <v>45608</v>
      </c>
      <c r="C147" s="1" t="s">
        <v>83</v>
      </c>
      <c r="D147" s="1" t="s">
        <v>84</v>
      </c>
      <c r="E147" s="1" t="s">
        <v>31</v>
      </c>
      <c r="F147" s="1" t="s">
        <v>32</v>
      </c>
      <c r="G147" s="39" t="s">
        <v>33</v>
      </c>
      <c r="H147" s="3">
        <v>3</v>
      </c>
      <c r="I147" s="3">
        <v>59.99</v>
      </c>
      <c r="J147" s="1" t="s">
        <v>57</v>
      </c>
      <c r="K147" s="1" t="s">
        <v>35</v>
      </c>
      <c r="L147" s="1" t="s">
        <v>36</v>
      </c>
      <c r="M147" s="2">
        <v>45260</v>
      </c>
      <c r="N147" s="43">
        <v>179.97</v>
      </c>
      <c r="O147" s="1" t="str">
        <f>TEXT(Sales_Data[[#This Row],[Date]],"mmm-yyyy")</f>
        <v>Nov-2024</v>
      </c>
      <c r="P147" s="1">
        <f>YEAR(Sales_Data[[#This Row],[Date]])</f>
        <v>2024</v>
      </c>
      <c r="Q147" s="13">
        <f t="shared" ca="1" si="10"/>
        <v>1027</v>
      </c>
      <c r="R147" s="1">
        <f t="shared" ca="1" si="11"/>
        <v>2</v>
      </c>
      <c r="S147" s="17">
        <f t="shared" si="12"/>
        <v>45626</v>
      </c>
      <c r="T147" s="1" t="str">
        <f t="shared" si="13"/>
        <v>Normal</v>
      </c>
      <c r="U147" s="20">
        <f t="shared" ca="1" si="14"/>
        <v>46287.029763888888</v>
      </c>
    </row>
    <row r="148" spans="1:21" ht="15.75" thickBot="1" x14ac:dyDescent="0.3">
      <c r="A148" s="4" t="s">
        <v>287</v>
      </c>
      <c r="B148" s="2">
        <v>45613</v>
      </c>
      <c r="C148" s="1" t="s">
        <v>234</v>
      </c>
      <c r="D148" s="1" t="s">
        <v>235</v>
      </c>
      <c r="E148" s="1" t="s">
        <v>44</v>
      </c>
      <c r="F148" s="1" t="s">
        <v>45</v>
      </c>
      <c r="G148" s="39" t="s">
        <v>46</v>
      </c>
      <c r="H148" s="3">
        <v>5</v>
      </c>
      <c r="I148" s="3">
        <v>149.99</v>
      </c>
      <c r="J148" s="1" t="s">
        <v>20</v>
      </c>
      <c r="K148" s="1" t="s">
        <v>40</v>
      </c>
      <c r="L148" s="1" t="s">
        <v>22</v>
      </c>
      <c r="M148" s="2">
        <v>44869</v>
      </c>
      <c r="N148" s="43">
        <v>749.95</v>
      </c>
      <c r="O148" s="1" t="str">
        <f>TEXT(Sales_Data[[#This Row],[Date]],"mmm-yyyy")</f>
        <v>Nov-2024</v>
      </c>
      <c r="P148" s="1">
        <f>YEAR(Sales_Data[[#This Row],[Date]])</f>
        <v>2024</v>
      </c>
      <c r="Q148" s="13">
        <f t="shared" ca="1" si="10"/>
        <v>1418</v>
      </c>
      <c r="R148" s="1">
        <f t="shared" ca="1" si="11"/>
        <v>3</v>
      </c>
      <c r="S148" s="17">
        <f t="shared" si="12"/>
        <v>45626</v>
      </c>
      <c r="T148" s="1" t="str">
        <f t="shared" si="13"/>
        <v>Normal</v>
      </c>
      <c r="U148" s="20">
        <f t="shared" ca="1" si="14"/>
        <v>46287.029763888888</v>
      </c>
    </row>
    <row r="149" spans="1:21" ht="15.75" thickBot="1" x14ac:dyDescent="0.3">
      <c r="A149" s="4" t="s">
        <v>288</v>
      </c>
      <c r="B149" s="2">
        <v>45613</v>
      </c>
      <c r="C149" s="1" t="s">
        <v>86</v>
      </c>
      <c r="D149" s="1" t="s">
        <v>87</v>
      </c>
      <c r="E149" s="1" t="s">
        <v>80</v>
      </c>
      <c r="F149" s="1" t="s">
        <v>81</v>
      </c>
      <c r="G149" s="39" t="s">
        <v>19</v>
      </c>
      <c r="H149" s="3">
        <v>2</v>
      </c>
      <c r="I149" s="3">
        <v>699.99</v>
      </c>
      <c r="J149" s="1" t="s">
        <v>34</v>
      </c>
      <c r="K149" s="1" t="s">
        <v>50</v>
      </c>
      <c r="L149" s="1" t="s">
        <v>36</v>
      </c>
      <c r="M149" s="2">
        <v>44770</v>
      </c>
      <c r="N149" s="43">
        <v>1399.98</v>
      </c>
      <c r="O149" s="1" t="str">
        <f>TEXT(Sales_Data[[#This Row],[Date]],"mmm-yyyy")</f>
        <v>Nov-2024</v>
      </c>
      <c r="P149" s="1">
        <f>YEAR(Sales_Data[[#This Row],[Date]])</f>
        <v>2024</v>
      </c>
      <c r="Q149" s="13">
        <f t="shared" ca="1" si="10"/>
        <v>1517</v>
      </c>
      <c r="R149" s="1">
        <f t="shared" ca="1" si="11"/>
        <v>4</v>
      </c>
      <c r="S149" s="17">
        <f t="shared" si="12"/>
        <v>45626</v>
      </c>
      <c r="T149" s="1" t="str">
        <f t="shared" si="13"/>
        <v>High Value</v>
      </c>
      <c r="U149" s="20">
        <f t="shared" ca="1" si="14"/>
        <v>46287.029763888888</v>
      </c>
    </row>
    <row r="150" spans="1:21" ht="15.75" thickBot="1" x14ac:dyDescent="0.3">
      <c r="A150" s="4" t="s">
        <v>289</v>
      </c>
      <c r="B150" s="2">
        <v>45617</v>
      </c>
      <c r="C150" s="1" t="s">
        <v>123</v>
      </c>
      <c r="D150" s="1" t="s">
        <v>124</v>
      </c>
      <c r="E150" s="1" t="s">
        <v>126</v>
      </c>
      <c r="F150" s="1" t="s">
        <v>127</v>
      </c>
      <c r="G150" s="39" t="s">
        <v>46</v>
      </c>
      <c r="H150" s="3">
        <v>4</v>
      </c>
      <c r="I150" s="3">
        <v>199.99</v>
      </c>
      <c r="J150" s="1" t="s">
        <v>57</v>
      </c>
      <c r="K150" s="1" t="s">
        <v>21</v>
      </c>
      <c r="L150" s="1" t="s">
        <v>27</v>
      </c>
      <c r="M150" s="2">
        <v>44427</v>
      </c>
      <c r="N150" s="43">
        <v>799.96</v>
      </c>
      <c r="O150" s="1" t="str">
        <f>TEXT(Sales_Data[[#This Row],[Date]],"mmm-yyyy")</f>
        <v>Nov-2024</v>
      </c>
      <c r="P150" s="1">
        <f>YEAR(Sales_Data[[#This Row],[Date]])</f>
        <v>2024</v>
      </c>
      <c r="Q150" s="13">
        <f t="shared" ca="1" si="10"/>
        <v>1860</v>
      </c>
      <c r="R150" s="1">
        <f t="shared" ca="1" si="11"/>
        <v>5</v>
      </c>
      <c r="S150" s="17">
        <f t="shared" si="12"/>
        <v>45626</v>
      </c>
      <c r="T150" s="1" t="str">
        <f t="shared" si="13"/>
        <v>Normal</v>
      </c>
      <c r="U150" s="20">
        <f t="shared" ca="1" si="14"/>
        <v>46287.029763888888</v>
      </c>
    </row>
    <row r="151" spans="1:21" ht="15.75" thickBot="1" x14ac:dyDescent="0.3">
      <c r="A151" s="4" t="s">
        <v>290</v>
      </c>
      <c r="B151" s="2">
        <v>45619</v>
      </c>
      <c r="C151" s="1" t="s">
        <v>192</v>
      </c>
      <c r="D151" s="1" t="s">
        <v>193</v>
      </c>
      <c r="E151" s="1" t="s">
        <v>31</v>
      </c>
      <c r="F151" s="1" t="s">
        <v>32</v>
      </c>
      <c r="G151" s="39" t="s">
        <v>33</v>
      </c>
      <c r="H151" s="3">
        <v>1</v>
      </c>
      <c r="I151" s="3">
        <v>59.99</v>
      </c>
      <c r="J151" s="1" t="s">
        <v>57</v>
      </c>
      <c r="K151" s="1" t="s">
        <v>50</v>
      </c>
      <c r="L151" s="1" t="s">
        <v>36</v>
      </c>
      <c r="M151" s="2">
        <v>44560</v>
      </c>
      <c r="N151" s="43">
        <v>59.99</v>
      </c>
      <c r="O151" s="1" t="str">
        <f>TEXT(Sales_Data[[#This Row],[Date]],"mmm-yyyy")</f>
        <v>Nov-2024</v>
      </c>
      <c r="P151" s="1">
        <f>YEAR(Sales_Data[[#This Row],[Date]])</f>
        <v>2024</v>
      </c>
      <c r="Q151" s="13">
        <f t="shared" ca="1" si="10"/>
        <v>1727</v>
      </c>
      <c r="R151" s="1">
        <f t="shared" ca="1" si="11"/>
        <v>4</v>
      </c>
      <c r="S151" s="17">
        <f t="shared" si="12"/>
        <v>45626</v>
      </c>
      <c r="T151" s="1" t="str">
        <f t="shared" si="13"/>
        <v>Normal</v>
      </c>
      <c r="U151" s="20">
        <f t="shared" ca="1" si="14"/>
        <v>46287.029763888888</v>
      </c>
    </row>
    <row r="152" spans="1:21" ht="15.75" thickBot="1" x14ac:dyDescent="0.3">
      <c r="A152" s="4" t="s">
        <v>291</v>
      </c>
      <c r="B152" s="2">
        <v>45619</v>
      </c>
      <c r="C152" s="1" t="s">
        <v>154</v>
      </c>
      <c r="D152" s="1" t="s">
        <v>155</v>
      </c>
      <c r="E152" s="1" t="s">
        <v>80</v>
      </c>
      <c r="F152" s="1" t="s">
        <v>81</v>
      </c>
      <c r="G152" s="39" t="s">
        <v>19</v>
      </c>
      <c r="H152" s="3">
        <v>3</v>
      </c>
      <c r="I152" s="3">
        <v>699.99</v>
      </c>
      <c r="J152" s="1" t="s">
        <v>34</v>
      </c>
      <c r="K152" s="1" t="s">
        <v>50</v>
      </c>
      <c r="L152" s="1" t="s">
        <v>36</v>
      </c>
      <c r="M152" s="2">
        <v>44583</v>
      </c>
      <c r="N152" s="43">
        <v>2099.9699999999998</v>
      </c>
      <c r="O152" s="1" t="str">
        <f>TEXT(Sales_Data[[#This Row],[Date]],"mmm-yyyy")</f>
        <v>Nov-2024</v>
      </c>
      <c r="P152" s="1">
        <f>YEAR(Sales_Data[[#This Row],[Date]])</f>
        <v>2024</v>
      </c>
      <c r="Q152" s="13">
        <f t="shared" ca="1" si="10"/>
        <v>1704</v>
      </c>
      <c r="R152" s="1">
        <f t="shared" ca="1" si="11"/>
        <v>4</v>
      </c>
      <c r="S152" s="17">
        <f t="shared" si="12"/>
        <v>45626</v>
      </c>
      <c r="T152" s="1" t="str">
        <f t="shared" si="13"/>
        <v>High Value</v>
      </c>
      <c r="U152" s="20">
        <f t="shared" ca="1" si="14"/>
        <v>46287.029763888888</v>
      </c>
    </row>
    <row r="153" spans="1:21" ht="15.75" thickBot="1" x14ac:dyDescent="0.3">
      <c r="A153" s="4" t="s">
        <v>292</v>
      </c>
      <c r="B153" s="2">
        <v>45622</v>
      </c>
      <c r="C153" s="1" t="s">
        <v>293</v>
      </c>
      <c r="D153" s="1" t="s">
        <v>294</v>
      </c>
      <c r="E153" s="1" t="s">
        <v>17</v>
      </c>
      <c r="F153" s="1" t="s">
        <v>18</v>
      </c>
      <c r="G153" s="39" t="s">
        <v>19</v>
      </c>
      <c r="H153" s="3">
        <v>5</v>
      </c>
      <c r="I153" s="3">
        <v>249.99</v>
      </c>
      <c r="J153" s="1" t="s">
        <v>26</v>
      </c>
      <c r="K153" s="1" t="s">
        <v>40</v>
      </c>
      <c r="L153" s="1" t="s">
        <v>22</v>
      </c>
      <c r="M153" s="2">
        <v>44873</v>
      </c>
      <c r="N153" s="43">
        <v>1249.95</v>
      </c>
      <c r="O153" s="1" t="str">
        <f>TEXT(Sales_Data[[#This Row],[Date]],"mmm-yyyy")</f>
        <v>Nov-2024</v>
      </c>
      <c r="P153" s="1">
        <f>YEAR(Sales_Data[[#This Row],[Date]])</f>
        <v>2024</v>
      </c>
      <c r="Q153" s="13">
        <f t="shared" ca="1" si="10"/>
        <v>1414</v>
      </c>
      <c r="R153" s="1">
        <f t="shared" ca="1" si="11"/>
        <v>3</v>
      </c>
      <c r="S153" s="17">
        <f t="shared" si="12"/>
        <v>45626</v>
      </c>
      <c r="T153" s="1" t="str">
        <f t="shared" si="13"/>
        <v>High Value</v>
      </c>
      <c r="U153" s="20">
        <f t="shared" ca="1" si="14"/>
        <v>46287.029763888888</v>
      </c>
    </row>
    <row r="154" spans="1:21" ht="15.75" thickBot="1" x14ac:dyDescent="0.3">
      <c r="A154" s="4" t="s">
        <v>295</v>
      </c>
      <c r="B154" s="2">
        <v>45623</v>
      </c>
      <c r="C154" s="1" t="s">
        <v>112</v>
      </c>
      <c r="D154" s="1" t="s">
        <v>113</v>
      </c>
      <c r="E154" s="1" t="s">
        <v>44</v>
      </c>
      <c r="F154" s="1" t="s">
        <v>45</v>
      </c>
      <c r="G154" s="39" t="s">
        <v>46</v>
      </c>
      <c r="H154" s="3">
        <v>2</v>
      </c>
      <c r="I154" s="3">
        <v>149.99</v>
      </c>
      <c r="J154" s="1" t="s">
        <v>20</v>
      </c>
      <c r="K154" s="1" t="s">
        <v>35</v>
      </c>
      <c r="L154" s="1" t="s">
        <v>36</v>
      </c>
      <c r="M154" s="2">
        <v>45101</v>
      </c>
      <c r="N154" s="43">
        <v>299.98</v>
      </c>
      <c r="O154" s="1" t="str">
        <f>TEXT(Sales_Data[[#This Row],[Date]],"mmm-yyyy")</f>
        <v>Nov-2024</v>
      </c>
      <c r="P154" s="1">
        <f>YEAR(Sales_Data[[#This Row],[Date]])</f>
        <v>2024</v>
      </c>
      <c r="Q154" s="13">
        <f t="shared" ca="1" si="10"/>
        <v>1186</v>
      </c>
      <c r="R154" s="1">
        <f t="shared" ca="1" si="11"/>
        <v>3</v>
      </c>
      <c r="S154" s="17">
        <f t="shared" si="12"/>
        <v>45626</v>
      </c>
      <c r="T154" s="1" t="str">
        <f t="shared" si="13"/>
        <v>Normal</v>
      </c>
      <c r="U154" s="20">
        <f t="shared" ca="1" si="14"/>
        <v>46287.029763888888</v>
      </c>
    </row>
    <row r="155" spans="1:21" ht="15.75" thickBot="1" x14ac:dyDescent="0.3">
      <c r="A155" s="4" t="s">
        <v>296</v>
      </c>
      <c r="B155" s="2">
        <v>45627</v>
      </c>
      <c r="C155" s="1" t="s">
        <v>29</v>
      </c>
      <c r="D155" s="1" t="s">
        <v>30</v>
      </c>
      <c r="E155" s="1" t="s">
        <v>105</v>
      </c>
      <c r="F155" s="1" t="s">
        <v>106</v>
      </c>
      <c r="G155" s="39" t="s">
        <v>46</v>
      </c>
      <c r="H155" s="3">
        <v>3</v>
      </c>
      <c r="I155" s="3">
        <v>299.99</v>
      </c>
      <c r="J155" s="1" t="s">
        <v>20</v>
      </c>
      <c r="K155" s="1" t="s">
        <v>35</v>
      </c>
      <c r="L155" s="1" t="s">
        <v>27</v>
      </c>
      <c r="M155" s="2">
        <v>44659</v>
      </c>
      <c r="N155" s="43">
        <v>899.97</v>
      </c>
      <c r="O155" s="1" t="str">
        <f>TEXT(Sales_Data[[#This Row],[Date]],"mmm-yyyy")</f>
        <v>Dec-2024</v>
      </c>
      <c r="P155" s="1">
        <f>YEAR(Sales_Data[[#This Row],[Date]])</f>
        <v>2024</v>
      </c>
      <c r="Q155" s="13">
        <f t="shared" ca="1" si="10"/>
        <v>1628</v>
      </c>
      <c r="R155" s="1">
        <f t="shared" ca="1" si="11"/>
        <v>4</v>
      </c>
      <c r="S155" s="17">
        <f t="shared" si="12"/>
        <v>45657</v>
      </c>
      <c r="T155" s="1" t="str">
        <f t="shared" si="13"/>
        <v>Normal</v>
      </c>
      <c r="U155" s="20">
        <f t="shared" ca="1" si="14"/>
        <v>46287.029763888888</v>
      </c>
    </row>
    <row r="156" spans="1:21" ht="15.75" thickBot="1" x14ac:dyDescent="0.3">
      <c r="A156" s="4" t="s">
        <v>297</v>
      </c>
      <c r="B156" s="2">
        <v>45627</v>
      </c>
      <c r="C156" s="1" t="s">
        <v>55</v>
      </c>
      <c r="D156" s="1" t="s">
        <v>56</v>
      </c>
      <c r="E156" s="1" t="s">
        <v>17</v>
      </c>
      <c r="F156" s="1" t="s">
        <v>18</v>
      </c>
      <c r="G156" s="39" t="s">
        <v>19</v>
      </c>
      <c r="H156" s="3">
        <v>5</v>
      </c>
      <c r="I156" s="3">
        <v>249.99</v>
      </c>
      <c r="J156" s="1" t="s">
        <v>20</v>
      </c>
      <c r="K156" s="1" t="s">
        <v>21</v>
      </c>
      <c r="L156" s="1" t="s">
        <v>27</v>
      </c>
      <c r="M156" s="2">
        <v>44485</v>
      </c>
      <c r="N156" s="43">
        <v>1249.95</v>
      </c>
      <c r="O156" s="1" t="str">
        <f>TEXT(Sales_Data[[#This Row],[Date]],"mmm-yyyy")</f>
        <v>Dec-2024</v>
      </c>
      <c r="P156" s="1">
        <f>YEAR(Sales_Data[[#This Row],[Date]])</f>
        <v>2024</v>
      </c>
      <c r="Q156" s="13">
        <f t="shared" ca="1" si="10"/>
        <v>1802</v>
      </c>
      <c r="R156" s="1">
        <f t="shared" ca="1" si="11"/>
        <v>4</v>
      </c>
      <c r="S156" s="17">
        <f t="shared" si="12"/>
        <v>45657</v>
      </c>
      <c r="T156" s="1" t="str">
        <f t="shared" si="13"/>
        <v>High Value</v>
      </c>
      <c r="U156" s="20">
        <f t="shared" ca="1" si="14"/>
        <v>46287.029763888888</v>
      </c>
    </row>
    <row r="157" spans="1:21" ht="15.75" thickBot="1" x14ac:dyDescent="0.3">
      <c r="A157" s="4" t="s">
        <v>298</v>
      </c>
      <c r="B157" s="2">
        <v>45627</v>
      </c>
      <c r="C157" s="1" t="s">
        <v>24</v>
      </c>
      <c r="D157" s="1" t="s">
        <v>25</v>
      </c>
      <c r="E157" s="1" t="s">
        <v>52</v>
      </c>
      <c r="F157" s="1" t="s">
        <v>53</v>
      </c>
      <c r="G157" s="39" t="s">
        <v>19</v>
      </c>
      <c r="H157" s="3">
        <v>2</v>
      </c>
      <c r="I157" s="3">
        <v>149.99</v>
      </c>
      <c r="J157" s="1" t="s">
        <v>20</v>
      </c>
      <c r="K157" s="1" t="s">
        <v>35</v>
      </c>
      <c r="L157" s="1" t="s">
        <v>27</v>
      </c>
      <c r="M157" s="2">
        <v>44475</v>
      </c>
      <c r="N157" s="43">
        <v>299.98</v>
      </c>
      <c r="O157" s="1" t="str">
        <f>TEXT(Sales_Data[[#This Row],[Date]],"mmm-yyyy")</f>
        <v>Dec-2024</v>
      </c>
      <c r="P157" s="1">
        <f>YEAR(Sales_Data[[#This Row],[Date]])</f>
        <v>2024</v>
      </c>
      <c r="Q157" s="13">
        <f t="shared" ca="1" si="10"/>
        <v>1812</v>
      </c>
      <c r="R157" s="1">
        <f t="shared" ca="1" si="11"/>
        <v>4</v>
      </c>
      <c r="S157" s="17">
        <f t="shared" si="12"/>
        <v>45657</v>
      </c>
      <c r="T157" s="1" t="str">
        <f t="shared" si="13"/>
        <v>Normal</v>
      </c>
      <c r="U157" s="20">
        <f t="shared" ca="1" si="14"/>
        <v>46287.029763888888</v>
      </c>
    </row>
    <row r="158" spans="1:21" ht="15.75" thickBot="1" x14ac:dyDescent="0.3">
      <c r="A158" s="4" t="s">
        <v>299</v>
      </c>
      <c r="B158" s="2">
        <v>45627</v>
      </c>
      <c r="C158" s="1" t="s">
        <v>86</v>
      </c>
      <c r="D158" s="1" t="s">
        <v>87</v>
      </c>
      <c r="E158" s="1" t="s">
        <v>80</v>
      </c>
      <c r="F158" s="1" t="s">
        <v>81</v>
      </c>
      <c r="G158" s="39" t="s">
        <v>19</v>
      </c>
      <c r="H158" s="3">
        <v>5</v>
      </c>
      <c r="I158" s="3">
        <v>699.99</v>
      </c>
      <c r="J158" s="1" t="s">
        <v>57</v>
      </c>
      <c r="K158" s="1" t="s">
        <v>50</v>
      </c>
      <c r="L158" s="1" t="s">
        <v>36</v>
      </c>
      <c r="M158" s="2">
        <v>44944</v>
      </c>
      <c r="N158" s="43">
        <v>3499.95</v>
      </c>
      <c r="O158" s="1" t="str">
        <f>TEXT(Sales_Data[[#This Row],[Date]],"mmm-yyyy")</f>
        <v>Dec-2024</v>
      </c>
      <c r="P158" s="1">
        <f>YEAR(Sales_Data[[#This Row],[Date]])</f>
        <v>2024</v>
      </c>
      <c r="Q158" s="13">
        <f t="shared" ca="1" si="10"/>
        <v>1343</v>
      </c>
      <c r="R158" s="1">
        <f t="shared" ca="1" si="11"/>
        <v>3</v>
      </c>
      <c r="S158" s="17">
        <f t="shared" si="12"/>
        <v>45657</v>
      </c>
      <c r="T158" s="1" t="str">
        <f t="shared" si="13"/>
        <v>High Value</v>
      </c>
      <c r="U158" s="20">
        <f t="shared" ca="1" si="14"/>
        <v>46287.029763888888</v>
      </c>
    </row>
    <row r="159" spans="1:21" ht="15.75" thickBot="1" x14ac:dyDescent="0.3">
      <c r="A159" s="4" t="s">
        <v>300</v>
      </c>
      <c r="B159" s="2">
        <v>45629</v>
      </c>
      <c r="C159" s="1" t="s">
        <v>252</v>
      </c>
      <c r="D159" s="1" t="s">
        <v>253</v>
      </c>
      <c r="E159" s="1" t="s">
        <v>17</v>
      </c>
      <c r="F159" s="1" t="s">
        <v>18</v>
      </c>
      <c r="G159" s="39" t="s">
        <v>19</v>
      </c>
      <c r="H159" s="3">
        <v>4</v>
      </c>
      <c r="I159" s="3">
        <v>249.99</v>
      </c>
      <c r="J159" s="1" t="s">
        <v>34</v>
      </c>
      <c r="K159" s="1" t="s">
        <v>63</v>
      </c>
      <c r="L159" s="1" t="s">
        <v>27</v>
      </c>
      <c r="M159" s="2">
        <v>45098</v>
      </c>
      <c r="N159" s="43">
        <v>999.96</v>
      </c>
      <c r="O159" s="1" t="str">
        <f>TEXT(Sales_Data[[#This Row],[Date]],"mmm-yyyy")</f>
        <v>Dec-2024</v>
      </c>
      <c r="P159" s="1">
        <f>YEAR(Sales_Data[[#This Row],[Date]])</f>
        <v>2024</v>
      </c>
      <c r="Q159" s="13">
        <f t="shared" ca="1" si="10"/>
        <v>1189</v>
      </c>
      <c r="R159" s="1">
        <f t="shared" ca="1" si="11"/>
        <v>3</v>
      </c>
      <c r="S159" s="17">
        <f t="shared" si="12"/>
        <v>45657</v>
      </c>
      <c r="T159" s="1" t="str">
        <f t="shared" si="13"/>
        <v>Normal</v>
      </c>
      <c r="U159" s="20">
        <f t="shared" ca="1" si="14"/>
        <v>46287.029763888888</v>
      </c>
    </row>
    <row r="160" spans="1:21" ht="15.75" thickBot="1" x14ac:dyDescent="0.3">
      <c r="A160" s="4" t="s">
        <v>301</v>
      </c>
      <c r="B160" s="2">
        <v>45630</v>
      </c>
      <c r="C160" s="1" t="s">
        <v>48</v>
      </c>
      <c r="D160" s="1" t="s">
        <v>49</v>
      </c>
      <c r="E160" s="1" t="s">
        <v>80</v>
      </c>
      <c r="F160" s="1" t="s">
        <v>81</v>
      </c>
      <c r="G160" s="39" t="s">
        <v>19</v>
      </c>
      <c r="H160" s="3">
        <v>4</v>
      </c>
      <c r="I160" s="3">
        <v>699.99</v>
      </c>
      <c r="J160" s="1" t="s">
        <v>26</v>
      </c>
      <c r="K160" s="1" t="s">
        <v>40</v>
      </c>
      <c r="L160" s="1" t="s">
        <v>27</v>
      </c>
      <c r="M160" s="2">
        <v>44703</v>
      </c>
      <c r="N160" s="43">
        <v>2799.96</v>
      </c>
      <c r="O160" s="1" t="str">
        <f>TEXT(Sales_Data[[#This Row],[Date]],"mmm-yyyy")</f>
        <v>Dec-2024</v>
      </c>
      <c r="P160" s="1">
        <f>YEAR(Sales_Data[[#This Row],[Date]])</f>
        <v>2024</v>
      </c>
      <c r="Q160" s="13">
        <f t="shared" ca="1" si="10"/>
        <v>1584</v>
      </c>
      <c r="R160" s="1">
        <f t="shared" ca="1" si="11"/>
        <v>4</v>
      </c>
      <c r="S160" s="17">
        <f t="shared" si="12"/>
        <v>45657</v>
      </c>
      <c r="T160" s="1" t="str">
        <f t="shared" si="13"/>
        <v>High Value</v>
      </c>
      <c r="U160" s="20">
        <f t="shared" ca="1" si="14"/>
        <v>46287.029763888888</v>
      </c>
    </row>
    <row r="161" spans="1:21" ht="15.75" thickBot="1" x14ac:dyDescent="0.3">
      <c r="A161" s="4" t="s">
        <v>302</v>
      </c>
      <c r="B161" s="2">
        <v>45635</v>
      </c>
      <c r="C161" s="1" t="s">
        <v>108</v>
      </c>
      <c r="D161" s="1" t="s">
        <v>109</v>
      </c>
      <c r="E161" s="1" t="s">
        <v>17</v>
      </c>
      <c r="F161" s="1" t="s">
        <v>18</v>
      </c>
      <c r="G161" s="39" t="s">
        <v>19</v>
      </c>
      <c r="H161" s="3">
        <v>2</v>
      </c>
      <c r="I161" s="3">
        <v>249.99</v>
      </c>
      <c r="J161" s="1" t="s">
        <v>26</v>
      </c>
      <c r="K161" s="1" t="s">
        <v>21</v>
      </c>
      <c r="L161" s="1" t="s">
        <v>27</v>
      </c>
      <c r="M161" s="2">
        <v>44396</v>
      </c>
      <c r="N161" s="43">
        <v>499.98</v>
      </c>
      <c r="O161" s="1" t="str">
        <f>TEXT(Sales_Data[[#This Row],[Date]],"mmm-yyyy")</f>
        <v>Dec-2024</v>
      </c>
      <c r="P161" s="1">
        <f>YEAR(Sales_Data[[#This Row],[Date]])</f>
        <v>2024</v>
      </c>
      <c r="Q161" s="13">
        <f t="shared" ca="1" si="10"/>
        <v>1891</v>
      </c>
      <c r="R161" s="1">
        <f t="shared" ca="1" si="11"/>
        <v>5</v>
      </c>
      <c r="S161" s="17">
        <f t="shared" si="12"/>
        <v>45657</v>
      </c>
      <c r="T161" s="1" t="str">
        <f t="shared" si="13"/>
        <v>Normal</v>
      </c>
      <c r="U161" s="20">
        <f t="shared" ca="1" si="14"/>
        <v>46287.029763888888</v>
      </c>
    </row>
    <row r="162" spans="1:21" ht="15.75" thickBot="1" x14ac:dyDescent="0.3">
      <c r="A162" s="4" t="s">
        <v>303</v>
      </c>
      <c r="B162" s="2">
        <v>45635</v>
      </c>
      <c r="C162" s="1" t="s">
        <v>304</v>
      </c>
      <c r="D162" s="1" t="s">
        <v>305</v>
      </c>
      <c r="E162" s="1" t="s">
        <v>31</v>
      </c>
      <c r="F162" s="1" t="s">
        <v>32</v>
      </c>
      <c r="G162" s="39" t="s">
        <v>33</v>
      </c>
      <c r="H162" s="3">
        <v>3</v>
      </c>
      <c r="I162" s="3">
        <v>59.99</v>
      </c>
      <c r="J162" s="1" t="s">
        <v>20</v>
      </c>
      <c r="K162" s="1" t="s">
        <v>21</v>
      </c>
      <c r="L162" s="1" t="s">
        <v>27</v>
      </c>
      <c r="M162" s="2">
        <v>45052</v>
      </c>
      <c r="N162" s="43">
        <v>179.97</v>
      </c>
      <c r="O162" s="1" t="str">
        <f>TEXT(Sales_Data[[#This Row],[Date]],"mmm-yyyy")</f>
        <v>Dec-2024</v>
      </c>
      <c r="P162" s="1">
        <f>YEAR(Sales_Data[[#This Row],[Date]])</f>
        <v>2024</v>
      </c>
      <c r="Q162" s="13">
        <f t="shared" ca="1" si="10"/>
        <v>1235</v>
      </c>
      <c r="R162" s="1">
        <f t="shared" ca="1" si="11"/>
        <v>3</v>
      </c>
      <c r="S162" s="17">
        <f t="shared" si="12"/>
        <v>45657</v>
      </c>
      <c r="T162" s="1" t="str">
        <f t="shared" si="13"/>
        <v>Normal</v>
      </c>
      <c r="U162" s="20">
        <f t="shared" ca="1" si="14"/>
        <v>46287.029763888888</v>
      </c>
    </row>
    <row r="163" spans="1:21" ht="15.75" thickBot="1" x14ac:dyDescent="0.3">
      <c r="A163" s="4" t="s">
        <v>306</v>
      </c>
      <c r="B163" s="2">
        <v>45635</v>
      </c>
      <c r="C163" s="1" t="s">
        <v>141</v>
      </c>
      <c r="D163" s="1" t="s">
        <v>142</v>
      </c>
      <c r="E163" s="1" t="s">
        <v>114</v>
      </c>
      <c r="F163" s="1" t="s">
        <v>115</v>
      </c>
      <c r="G163" s="39" t="s">
        <v>33</v>
      </c>
      <c r="H163" s="3">
        <v>4</v>
      </c>
      <c r="I163" s="3">
        <v>79.989999999999995</v>
      </c>
      <c r="J163" s="1" t="s">
        <v>57</v>
      </c>
      <c r="K163" s="1" t="s">
        <v>63</v>
      </c>
      <c r="L163" s="1" t="s">
        <v>36</v>
      </c>
      <c r="M163" s="2">
        <v>44921</v>
      </c>
      <c r="N163" s="43">
        <v>319.95999999999998</v>
      </c>
      <c r="O163" s="1" t="str">
        <f>TEXT(Sales_Data[[#This Row],[Date]],"mmm-yyyy")</f>
        <v>Dec-2024</v>
      </c>
      <c r="P163" s="1">
        <f>YEAR(Sales_Data[[#This Row],[Date]])</f>
        <v>2024</v>
      </c>
      <c r="Q163" s="13">
        <f t="shared" ca="1" si="10"/>
        <v>1366</v>
      </c>
      <c r="R163" s="1">
        <f t="shared" ca="1" si="11"/>
        <v>3</v>
      </c>
      <c r="S163" s="17">
        <f t="shared" si="12"/>
        <v>45657</v>
      </c>
      <c r="T163" s="1" t="str">
        <f t="shared" si="13"/>
        <v>Normal</v>
      </c>
      <c r="U163" s="20">
        <f t="shared" ca="1" si="14"/>
        <v>46287.029763888888</v>
      </c>
    </row>
    <row r="164" spans="1:21" ht="15.75" thickBot="1" x14ac:dyDescent="0.3">
      <c r="A164" s="4" t="s">
        <v>307</v>
      </c>
      <c r="B164" s="2">
        <v>45636</v>
      </c>
      <c r="C164" s="1" t="s">
        <v>120</v>
      </c>
      <c r="D164" s="1" t="s">
        <v>121</v>
      </c>
      <c r="E164" s="1" t="s">
        <v>114</v>
      </c>
      <c r="F164" s="1" t="s">
        <v>115</v>
      </c>
      <c r="G164" s="39" t="s">
        <v>33</v>
      </c>
      <c r="H164" s="3">
        <v>3</v>
      </c>
      <c r="I164" s="3">
        <v>79.989999999999995</v>
      </c>
      <c r="J164" s="1" t="s">
        <v>57</v>
      </c>
      <c r="K164" s="1" t="s">
        <v>63</v>
      </c>
      <c r="L164" s="1" t="s">
        <v>36</v>
      </c>
      <c r="M164" s="2">
        <v>44779</v>
      </c>
      <c r="N164" s="43">
        <v>239.97</v>
      </c>
      <c r="O164" s="1" t="str">
        <f>TEXT(Sales_Data[[#This Row],[Date]],"mmm-yyyy")</f>
        <v>Dec-2024</v>
      </c>
      <c r="P164" s="1">
        <f>YEAR(Sales_Data[[#This Row],[Date]])</f>
        <v>2024</v>
      </c>
      <c r="Q164" s="13">
        <f t="shared" ca="1" si="10"/>
        <v>1508</v>
      </c>
      <c r="R164" s="1">
        <f t="shared" ca="1" si="11"/>
        <v>4</v>
      </c>
      <c r="S164" s="17">
        <f t="shared" si="12"/>
        <v>45657</v>
      </c>
      <c r="T164" s="1" t="str">
        <f t="shared" si="13"/>
        <v>Normal</v>
      </c>
      <c r="U164" s="20">
        <f t="shared" ca="1" si="14"/>
        <v>46287.029763888888</v>
      </c>
    </row>
    <row r="165" spans="1:21" ht="15.75" thickBot="1" x14ac:dyDescent="0.3">
      <c r="A165" s="4" t="s">
        <v>308</v>
      </c>
      <c r="B165" s="2">
        <v>45638</v>
      </c>
      <c r="C165" s="1" t="s">
        <v>72</v>
      </c>
      <c r="D165" s="1" t="s">
        <v>73</v>
      </c>
      <c r="E165" s="1" t="s">
        <v>61</v>
      </c>
      <c r="F165" s="1" t="s">
        <v>62</v>
      </c>
      <c r="G165" s="39" t="s">
        <v>19</v>
      </c>
      <c r="H165" s="3">
        <v>2</v>
      </c>
      <c r="I165" s="3">
        <v>899.99</v>
      </c>
      <c r="J165" s="1" t="s">
        <v>20</v>
      </c>
      <c r="K165" s="1" t="s">
        <v>40</v>
      </c>
      <c r="L165" s="1" t="s">
        <v>22</v>
      </c>
      <c r="M165" s="2">
        <v>44406</v>
      </c>
      <c r="N165" s="43">
        <v>1799.98</v>
      </c>
      <c r="O165" s="1" t="str">
        <f>TEXT(Sales_Data[[#This Row],[Date]],"mmm-yyyy")</f>
        <v>Dec-2024</v>
      </c>
      <c r="P165" s="1">
        <f>YEAR(Sales_Data[[#This Row],[Date]])</f>
        <v>2024</v>
      </c>
      <c r="Q165" s="13">
        <f t="shared" ca="1" si="10"/>
        <v>1881</v>
      </c>
      <c r="R165" s="1">
        <f t="shared" ca="1" si="11"/>
        <v>5</v>
      </c>
      <c r="S165" s="17">
        <f t="shared" si="12"/>
        <v>45657</v>
      </c>
      <c r="T165" s="1" t="str">
        <f t="shared" si="13"/>
        <v>High Value</v>
      </c>
      <c r="U165" s="20">
        <f t="shared" ca="1" si="14"/>
        <v>46287.029763888888</v>
      </c>
    </row>
    <row r="166" spans="1:21" ht="15.75" thickBot="1" x14ac:dyDescent="0.3">
      <c r="A166" s="4" t="s">
        <v>309</v>
      </c>
      <c r="B166" s="2">
        <v>45641</v>
      </c>
      <c r="C166" s="1" t="s">
        <v>182</v>
      </c>
      <c r="D166" s="1" t="s">
        <v>183</v>
      </c>
      <c r="E166" s="1" t="s">
        <v>44</v>
      </c>
      <c r="F166" s="1" t="s">
        <v>45</v>
      </c>
      <c r="G166" s="39" t="s">
        <v>46</v>
      </c>
      <c r="H166" s="3">
        <v>1</v>
      </c>
      <c r="I166" s="3">
        <v>149.99</v>
      </c>
      <c r="J166" s="1" t="s">
        <v>57</v>
      </c>
      <c r="K166" s="1" t="s">
        <v>63</v>
      </c>
      <c r="L166" s="1" t="s">
        <v>36</v>
      </c>
      <c r="M166" s="2">
        <v>45200</v>
      </c>
      <c r="N166" s="43">
        <v>149.99</v>
      </c>
      <c r="O166" s="1" t="str">
        <f>TEXT(Sales_Data[[#This Row],[Date]],"mmm-yyyy")</f>
        <v>Dec-2024</v>
      </c>
      <c r="P166" s="1">
        <f>YEAR(Sales_Data[[#This Row],[Date]])</f>
        <v>2024</v>
      </c>
      <c r="Q166" s="13">
        <f t="shared" ca="1" si="10"/>
        <v>1087</v>
      </c>
      <c r="R166" s="1">
        <f t="shared" ca="1" si="11"/>
        <v>2</v>
      </c>
      <c r="S166" s="17">
        <f t="shared" si="12"/>
        <v>45657</v>
      </c>
      <c r="T166" s="1" t="str">
        <f t="shared" si="13"/>
        <v>Normal</v>
      </c>
      <c r="U166" s="20">
        <f t="shared" ca="1" si="14"/>
        <v>46287.029763888888</v>
      </c>
    </row>
    <row r="167" spans="1:21" ht="15.75" thickBot="1" x14ac:dyDescent="0.3">
      <c r="A167" s="4" t="s">
        <v>310</v>
      </c>
      <c r="B167" s="2">
        <v>45641</v>
      </c>
      <c r="C167" s="1" t="s">
        <v>138</v>
      </c>
      <c r="D167" s="1" t="s">
        <v>139</v>
      </c>
      <c r="E167" s="1" t="s">
        <v>105</v>
      </c>
      <c r="F167" s="1" t="s">
        <v>106</v>
      </c>
      <c r="G167" s="39" t="s">
        <v>46</v>
      </c>
      <c r="H167" s="3">
        <v>2</v>
      </c>
      <c r="I167" s="3">
        <v>299.99</v>
      </c>
      <c r="J167" s="1" t="s">
        <v>20</v>
      </c>
      <c r="K167" s="1" t="s">
        <v>63</v>
      </c>
      <c r="L167" s="1" t="s">
        <v>27</v>
      </c>
      <c r="M167" s="2">
        <v>44724</v>
      </c>
      <c r="N167" s="43">
        <v>599.98</v>
      </c>
      <c r="O167" s="1" t="str">
        <f>TEXT(Sales_Data[[#This Row],[Date]],"mmm-yyyy")</f>
        <v>Dec-2024</v>
      </c>
      <c r="P167" s="1">
        <f>YEAR(Sales_Data[[#This Row],[Date]])</f>
        <v>2024</v>
      </c>
      <c r="Q167" s="13">
        <f t="shared" ca="1" si="10"/>
        <v>1563</v>
      </c>
      <c r="R167" s="1">
        <f t="shared" ca="1" si="11"/>
        <v>4</v>
      </c>
      <c r="S167" s="17">
        <f t="shared" si="12"/>
        <v>45657</v>
      </c>
      <c r="T167" s="1" t="str">
        <f t="shared" si="13"/>
        <v>Normal</v>
      </c>
      <c r="U167" s="20">
        <f t="shared" ca="1" si="14"/>
        <v>46287.029763888888</v>
      </c>
    </row>
    <row r="168" spans="1:21" ht="15.75" thickBot="1" x14ac:dyDescent="0.3">
      <c r="A168" s="4" t="s">
        <v>311</v>
      </c>
      <c r="B168" s="2">
        <v>45644</v>
      </c>
      <c r="C168" s="1" t="s">
        <v>132</v>
      </c>
      <c r="D168" s="1" t="s">
        <v>133</v>
      </c>
      <c r="E168" s="1" t="s">
        <v>31</v>
      </c>
      <c r="F168" s="1" t="s">
        <v>32</v>
      </c>
      <c r="G168" s="39" t="s">
        <v>33</v>
      </c>
      <c r="H168" s="3">
        <v>2</v>
      </c>
      <c r="I168" s="3">
        <v>59.99</v>
      </c>
      <c r="J168" s="1" t="s">
        <v>20</v>
      </c>
      <c r="K168" s="1" t="s">
        <v>50</v>
      </c>
      <c r="L168" s="1" t="s">
        <v>22</v>
      </c>
      <c r="M168" s="2">
        <v>45191</v>
      </c>
      <c r="N168" s="43">
        <v>119.98</v>
      </c>
      <c r="O168" s="1" t="str">
        <f>TEXT(Sales_Data[[#This Row],[Date]],"mmm-yyyy")</f>
        <v>Dec-2024</v>
      </c>
      <c r="P168" s="1">
        <f>YEAR(Sales_Data[[#This Row],[Date]])</f>
        <v>2024</v>
      </c>
      <c r="Q168" s="13">
        <f t="shared" ca="1" si="10"/>
        <v>1096</v>
      </c>
      <c r="R168" s="1">
        <f t="shared" ca="1" si="11"/>
        <v>3</v>
      </c>
      <c r="S168" s="17">
        <f t="shared" si="12"/>
        <v>45657</v>
      </c>
      <c r="T168" s="1" t="str">
        <f t="shared" si="13"/>
        <v>Normal</v>
      </c>
      <c r="U168" s="20">
        <f t="shared" ca="1" si="14"/>
        <v>46287.029763888888</v>
      </c>
    </row>
    <row r="169" spans="1:21" ht="15.75" thickBot="1" x14ac:dyDescent="0.3">
      <c r="A169" s="4" t="s">
        <v>312</v>
      </c>
      <c r="B169" s="2">
        <v>45645</v>
      </c>
      <c r="C169" s="1" t="s">
        <v>182</v>
      </c>
      <c r="D169" s="1" t="s">
        <v>183</v>
      </c>
      <c r="E169" s="1" t="s">
        <v>117</v>
      </c>
      <c r="F169" s="1" t="s">
        <v>118</v>
      </c>
      <c r="G169" s="39" t="s">
        <v>19</v>
      </c>
      <c r="H169" s="3">
        <v>1</v>
      </c>
      <c r="I169" s="3">
        <v>89.99</v>
      </c>
      <c r="J169" s="1" t="s">
        <v>57</v>
      </c>
      <c r="K169" s="1" t="s">
        <v>21</v>
      </c>
      <c r="L169" s="1" t="s">
        <v>36</v>
      </c>
      <c r="M169" s="2">
        <v>44760</v>
      </c>
      <c r="N169" s="43">
        <v>89.99</v>
      </c>
      <c r="O169" s="1" t="str">
        <f>TEXT(Sales_Data[[#This Row],[Date]],"mmm-yyyy")</f>
        <v>Dec-2024</v>
      </c>
      <c r="P169" s="1">
        <f>YEAR(Sales_Data[[#This Row],[Date]])</f>
        <v>2024</v>
      </c>
      <c r="Q169" s="13">
        <f t="shared" ca="1" si="10"/>
        <v>1527</v>
      </c>
      <c r="R169" s="1">
        <f t="shared" ca="1" si="11"/>
        <v>4</v>
      </c>
      <c r="S169" s="17">
        <f t="shared" si="12"/>
        <v>45657</v>
      </c>
      <c r="T169" s="1" t="str">
        <f t="shared" si="13"/>
        <v>Normal</v>
      </c>
      <c r="U169" s="20">
        <f t="shared" ca="1" si="14"/>
        <v>46287.029763888888</v>
      </c>
    </row>
    <row r="170" spans="1:21" ht="15.75" thickBot="1" x14ac:dyDescent="0.3">
      <c r="A170" s="4" t="s">
        <v>313</v>
      </c>
      <c r="B170" s="2">
        <v>45645</v>
      </c>
      <c r="C170" s="1" t="s">
        <v>147</v>
      </c>
      <c r="D170" s="1" t="s">
        <v>148</v>
      </c>
      <c r="E170" s="1" t="s">
        <v>61</v>
      </c>
      <c r="F170" s="1" t="s">
        <v>62</v>
      </c>
      <c r="G170" s="39" t="s">
        <v>19</v>
      </c>
      <c r="H170" s="3">
        <v>5</v>
      </c>
      <c r="I170" s="3">
        <v>899.99</v>
      </c>
      <c r="J170" s="1" t="s">
        <v>57</v>
      </c>
      <c r="K170" s="1" t="s">
        <v>63</v>
      </c>
      <c r="L170" s="1" t="s">
        <v>36</v>
      </c>
      <c r="M170" s="2">
        <v>44625</v>
      </c>
      <c r="N170" s="43">
        <v>4499.95</v>
      </c>
      <c r="O170" s="1" t="str">
        <f>TEXT(Sales_Data[[#This Row],[Date]],"mmm-yyyy")</f>
        <v>Dec-2024</v>
      </c>
      <c r="P170" s="1">
        <f>YEAR(Sales_Data[[#This Row],[Date]])</f>
        <v>2024</v>
      </c>
      <c r="Q170" s="13">
        <f t="shared" ca="1" si="10"/>
        <v>1662</v>
      </c>
      <c r="R170" s="1">
        <f t="shared" ca="1" si="11"/>
        <v>4</v>
      </c>
      <c r="S170" s="17">
        <f t="shared" si="12"/>
        <v>45657</v>
      </c>
      <c r="T170" s="1" t="str">
        <f t="shared" si="13"/>
        <v>High Value</v>
      </c>
      <c r="U170" s="20">
        <f t="shared" ca="1" si="14"/>
        <v>46287.029763888888</v>
      </c>
    </row>
    <row r="171" spans="1:21" ht="15.75" thickBot="1" x14ac:dyDescent="0.3">
      <c r="A171" s="4" t="s">
        <v>314</v>
      </c>
      <c r="B171" s="2">
        <v>45646</v>
      </c>
      <c r="C171" s="1" t="s">
        <v>42</v>
      </c>
      <c r="D171" s="1" t="s">
        <v>43</v>
      </c>
      <c r="E171" s="1" t="s">
        <v>44</v>
      </c>
      <c r="F171" s="1" t="s">
        <v>45</v>
      </c>
      <c r="G171" s="39" t="s">
        <v>46</v>
      </c>
      <c r="H171" s="3">
        <v>2</v>
      </c>
      <c r="I171" s="3">
        <v>149.99</v>
      </c>
      <c r="J171" s="1" t="s">
        <v>20</v>
      </c>
      <c r="K171" s="1" t="s">
        <v>35</v>
      </c>
      <c r="L171" s="1" t="s">
        <v>22</v>
      </c>
      <c r="M171" s="2">
        <v>45239</v>
      </c>
      <c r="N171" s="43">
        <v>299.98</v>
      </c>
      <c r="O171" s="1" t="str">
        <f>TEXT(Sales_Data[[#This Row],[Date]],"mmm-yyyy")</f>
        <v>Dec-2024</v>
      </c>
      <c r="P171" s="1">
        <f>YEAR(Sales_Data[[#This Row],[Date]])</f>
        <v>2024</v>
      </c>
      <c r="Q171" s="13">
        <f t="shared" ca="1" si="10"/>
        <v>1048</v>
      </c>
      <c r="R171" s="1">
        <f t="shared" ca="1" si="11"/>
        <v>2</v>
      </c>
      <c r="S171" s="17">
        <f t="shared" si="12"/>
        <v>45657</v>
      </c>
      <c r="T171" s="1" t="str">
        <f t="shared" si="13"/>
        <v>Normal</v>
      </c>
      <c r="U171" s="20">
        <f t="shared" ca="1" si="14"/>
        <v>46287.029763888888</v>
      </c>
    </row>
    <row r="172" spans="1:21" ht="15.75" thickBot="1" x14ac:dyDescent="0.3">
      <c r="A172" s="4" t="s">
        <v>315</v>
      </c>
      <c r="B172" s="2">
        <v>45648</v>
      </c>
      <c r="C172" s="1" t="s">
        <v>112</v>
      </c>
      <c r="D172" s="1" t="s">
        <v>113</v>
      </c>
      <c r="E172" s="1" t="s">
        <v>52</v>
      </c>
      <c r="F172" s="1" t="s">
        <v>53</v>
      </c>
      <c r="G172" s="39" t="s">
        <v>19</v>
      </c>
      <c r="H172" s="3">
        <v>2</v>
      </c>
      <c r="I172" s="3">
        <v>149.99</v>
      </c>
      <c r="J172" s="1" t="s">
        <v>57</v>
      </c>
      <c r="K172" s="1" t="s">
        <v>50</v>
      </c>
      <c r="L172" s="1" t="s">
        <v>27</v>
      </c>
      <c r="M172" s="2">
        <v>45280</v>
      </c>
      <c r="N172" s="43">
        <v>299.98</v>
      </c>
      <c r="O172" s="1" t="str">
        <f>TEXT(Sales_Data[[#This Row],[Date]],"mmm-yyyy")</f>
        <v>Dec-2024</v>
      </c>
      <c r="P172" s="1">
        <f>YEAR(Sales_Data[[#This Row],[Date]])</f>
        <v>2024</v>
      </c>
      <c r="Q172" s="13">
        <f t="shared" ca="1" si="10"/>
        <v>1007</v>
      </c>
      <c r="R172" s="1">
        <f t="shared" ca="1" si="11"/>
        <v>2</v>
      </c>
      <c r="S172" s="17">
        <f t="shared" si="12"/>
        <v>45657</v>
      </c>
      <c r="T172" s="1" t="str">
        <f t="shared" si="13"/>
        <v>Normal</v>
      </c>
      <c r="U172" s="20">
        <f t="shared" ca="1" si="14"/>
        <v>46287.029763888888</v>
      </c>
    </row>
    <row r="173" spans="1:21" ht="15.75" thickBot="1" x14ac:dyDescent="0.3">
      <c r="A173" s="4" t="s">
        <v>316</v>
      </c>
      <c r="B173" s="2">
        <v>45648</v>
      </c>
      <c r="C173" s="1" t="s">
        <v>182</v>
      </c>
      <c r="D173" s="1" t="s">
        <v>183</v>
      </c>
      <c r="E173" s="1" t="s">
        <v>44</v>
      </c>
      <c r="F173" s="1" t="s">
        <v>45</v>
      </c>
      <c r="G173" s="39" t="s">
        <v>46</v>
      </c>
      <c r="H173" s="3">
        <v>3</v>
      </c>
      <c r="I173" s="3">
        <v>149.99</v>
      </c>
      <c r="J173" s="1" t="s">
        <v>57</v>
      </c>
      <c r="K173" s="1" t="s">
        <v>40</v>
      </c>
      <c r="L173" s="1" t="s">
        <v>36</v>
      </c>
      <c r="M173" s="2">
        <v>44522</v>
      </c>
      <c r="N173" s="43">
        <v>449.97</v>
      </c>
      <c r="O173" s="1" t="str">
        <f>TEXT(Sales_Data[[#This Row],[Date]],"mmm-yyyy")</f>
        <v>Dec-2024</v>
      </c>
      <c r="P173" s="1">
        <f>YEAR(Sales_Data[[#This Row],[Date]])</f>
        <v>2024</v>
      </c>
      <c r="Q173" s="13">
        <f t="shared" ca="1" si="10"/>
        <v>1765</v>
      </c>
      <c r="R173" s="1">
        <f t="shared" ca="1" si="11"/>
        <v>4</v>
      </c>
      <c r="S173" s="17">
        <f t="shared" si="12"/>
        <v>45657</v>
      </c>
      <c r="T173" s="1" t="str">
        <f t="shared" si="13"/>
        <v>Normal</v>
      </c>
      <c r="U173" s="20">
        <f t="shared" ca="1" si="14"/>
        <v>46287.029763888888</v>
      </c>
    </row>
    <row r="174" spans="1:21" ht="15.75" thickBot="1" x14ac:dyDescent="0.3">
      <c r="A174" s="4" t="s">
        <v>317</v>
      </c>
      <c r="B174" s="2">
        <v>45649</v>
      </c>
      <c r="C174" s="1" t="s">
        <v>29</v>
      </c>
      <c r="D174" s="1" t="s">
        <v>30</v>
      </c>
      <c r="E174" s="1" t="s">
        <v>105</v>
      </c>
      <c r="F174" s="1" t="s">
        <v>106</v>
      </c>
      <c r="G174" s="39" t="s">
        <v>46</v>
      </c>
      <c r="H174" s="3">
        <v>2</v>
      </c>
      <c r="I174" s="3">
        <v>299.99</v>
      </c>
      <c r="J174" s="1" t="s">
        <v>34</v>
      </c>
      <c r="K174" s="1" t="s">
        <v>35</v>
      </c>
      <c r="L174" s="1" t="s">
        <v>22</v>
      </c>
      <c r="M174" s="2">
        <v>44721</v>
      </c>
      <c r="N174" s="43">
        <v>599.98</v>
      </c>
      <c r="O174" s="1" t="str">
        <f>TEXT(Sales_Data[[#This Row],[Date]],"mmm-yyyy")</f>
        <v>Dec-2024</v>
      </c>
      <c r="P174" s="1">
        <f>YEAR(Sales_Data[[#This Row],[Date]])</f>
        <v>2024</v>
      </c>
      <c r="Q174" s="13">
        <f t="shared" ca="1" si="10"/>
        <v>1566</v>
      </c>
      <c r="R174" s="1">
        <f t="shared" ca="1" si="11"/>
        <v>4</v>
      </c>
      <c r="S174" s="17">
        <f t="shared" si="12"/>
        <v>45657</v>
      </c>
      <c r="T174" s="1" t="str">
        <f t="shared" si="13"/>
        <v>Normal</v>
      </c>
      <c r="U174" s="20">
        <f t="shared" ca="1" si="14"/>
        <v>46287.029763888888</v>
      </c>
    </row>
    <row r="175" spans="1:21" ht="15.75" thickBot="1" x14ac:dyDescent="0.3">
      <c r="A175" s="4" t="s">
        <v>318</v>
      </c>
      <c r="B175" s="2">
        <v>45654</v>
      </c>
      <c r="C175" s="1" t="s">
        <v>42</v>
      </c>
      <c r="D175" s="1" t="s">
        <v>43</v>
      </c>
      <c r="E175" s="1" t="s">
        <v>105</v>
      </c>
      <c r="F175" s="1" t="s">
        <v>106</v>
      </c>
      <c r="G175" s="39" t="s">
        <v>46</v>
      </c>
      <c r="H175" s="3">
        <v>2</v>
      </c>
      <c r="I175" s="3">
        <v>299.99</v>
      </c>
      <c r="J175" s="1" t="s">
        <v>20</v>
      </c>
      <c r="K175" s="1" t="s">
        <v>50</v>
      </c>
      <c r="L175" s="1" t="s">
        <v>22</v>
      </c>
      <c r="M175" s="2">
        <v>44771</v>
      </c>
      <c r="N175" s="43">
        <v>599.98</v>
      </c>
      <c r="O175" s="1" t="str">
        <f>TEXT(Sales_Data[[#This Row],[Date]],"mmm-yyyy")</f>
        <v>Dec-2024</v>
      </c>
      <c r="P175" s="1">
        <f>YEAR(Sales_Data[[#This Row],[Date]])</f>
        <v>2024</v>
      </c>
      <c r="Q175" s="13">
        <f t="shared" ca="1" si="10"/>
        <v>1516</v>
      </c>
      <c r="R175" s="1">
        <f t="shared" ca="1" si="11"/>
        <v>4</v>
      </c>
      <c r="S175" s="17">
        <f t="shared" si="12"/>
        <v>45657</v>
      </c>
      <c r="T175" s="1" t="str">
        <f t="shared" si="13"/>
        <v>Normal</v>
      </c>
      <c r="U175" s="20">
        <f t="shared" ca="1" si="14"/>
        <v>46287.029763888888</v>
      </c>
    </row>
    <row r="176" spans="1:21" ht="15.75" thickBot="1" x14ac:dyDescent="0.3">
      <c r="A176" s="4" t="s">
        <v>319</v>
      </c>
      <c r="B176" s="2">
        <v>45654</v>
      </c>
      <c r="C176" s="1" t="s">
        <v>120</v>
      </c>
      <c r="D176" s="1" t="s">
        <v>121</v>
      </c>
      <c r="E176" s="1" t="s">
        <v>126</v>
      </c>
      <c r="F176" s="1" t="s">
        <v>127</v>
      </c>
      <c r="G176" s="39" t="s">
        <v>46</v>
      </c>
      <c r="H176" s="3">
        <v>4</v>
      </c>
      <c r="I176" s="3">
        <v>199.99</v>
      </c>
      <c r="J176" s="1" t="s">
        <v>26</v>
      </c>
      <c r="K176" s="1" t="s">
        <v>21</v>
      </c>
      <c r="L176" s="1" t="s">
        <v>22</v>
      </c>
      <c r="M176" s="2">
        <v>44523</v>
      </c>
      <c r="N176" s="43">
        <v>799.96</v>
      </c>
      <c r="O176" s="1" t="str">
        <f>TEXT(Sales_Data[[#This Row],[Date]],"mmm-yyyy")</f>
        <v>Dec-2024</v>
      </c>
      <c r="P176" s="1">
        <f>YEAR(Sales_Data[[#This Row],[Date]])</f>
        <v>2024</v>
      </c>
      <c r="Q176" s="13">
        <f t="shared" ca="1" si="10"/>
        <v>1764</v>
      </c>
      <c r="R176" s="1">
        <f t="shared" ca="1" si="11"/>
        <v>4</v>
      </c>
      <c r="S176" s="17">
        <f t="shared" si="12"/>
        <v>45657</v>
      </c>
      <c r="T176" s="1" t="str">
        <f t="shared" si="13"/>
        <v>Normal</v>
      </c>
      <c r="U176" s="20">
        <f t="shared" ca="1" si="14"/>
        <v>46287.029763888888</v>
      </c>
    </row>
    <row r="177" spans="1:21" ht="15.75" thickBot="1" x14ac:dyDescent="0.3">
      <c r="A177" s="4" t="s">
        <v>320</v>
      </c>
      <c r="B177" s="2">
        <v>45655</v>
      </c>
      <c r="C177" s="1" t="s">
        <v>59</v>
      </c>
      <c r="D177" s="1" t="s">
        <v>60</v>
      </c>
      <c r="E177" s="1" t="s">
        <v>117</v>
      </c>
      <c r="F177" s="1" t="s">
        <v>118</v>
      </c>
      <c r="G177" s="39" t="s">
        <v>19</v>
      </c>
      <c r="H177" s="3">
        <v>1</v>
      </c>
      <c r="I177" s="3">
        <v>89.99</v>
      </c>
      <c r="J177" s="1" t="s">
        <v>26</v>
      </c>
      <c r="K177" s="1" t="s">
        <v>35</v>
      </c>
      <c r="L177" s="1" t="s">
        <v>27</v>
      </c>
      <c r="M177" s="2">
        <v>44591</v>
      </c>
      <c r="N177" s="43">
        <v>89.99</v>
      </c>
      <c r="O177" s="1" t="str">
        <f>TEXT(Sales_Data[[#This Row],[Date]],"mmm-yyyy")</f>
        <v>Dec-2024</v>
      </c>
      <c r="P177" s="1">
        <f>YEAR(Sales_Data[[#This Row],[Date]])</f>
        <v>2024</v>
      </c>
      <c r="Q177" s="13">
        <f t="shared" ca="1" si="10"/>
        <v>1696</v>
      </c>
      <c r="R177" s="1">
        <f t="shared" ca="1" si="11"/>
        <v>4</v>
      </c>
      <c r="S177" s="17">
        <f t="shared" si="12"/>
        <v>45657</v>
      </c>
      <c r="T177" s="1" t="str">
        <f t="shared" si="13"/>
        <v>Normal</v>
      </c>
      <c r="U177" s="20">
        <f t="shared" ca="1" si="14"/>
        <v>46287.029763888888</v>
      </c>
    </row>
    <row r="178" spans="1:21" ht="15.75" thickBot="1" x14ac:dyDescent="0.3">
      <c r="A178" s="4" t="s">
        <v>321</v>
      </c>
      <c r="B178" s="2">
        <v>45655</v>
      </c>
      <c r="C178" s="1" t="s">
        <v>108</v>
      </c>
      <c r="D178" s="1" t="s">
        <v>109</v>
      </c>
      <c r="E178" s="1" t="s">
        <v>44</v>
      </c>
      <c r="F178" s="1" t="s">
        <v>45</v>
      </c>
      <c r="G178" s="39" t="s">
        <v>46</v>
      </c>
      <c r="H178" s="3">
        <v>5</v>
      </c>
      <c r="I178" s="3">
        <v>149.99</v>
      </c>
      <c r="J178" s="1" t="s">
        <v>20</v>
      </c>
      <c r="K178" s="1" t="s">
        <v>21</v>
      </c>
      <c r="L178" s="1" t="s">
        <v>27</v>
      </c>
      <c r="M178" s="2">
        <v>45347</v>
      </c>
      <c r="N178" s="43">
        <v>749.95</v>
      </c>
      <c r="O178" s="1" t="str">
        <f>TEXT(Sales_Data[[#This Row],[Date]],"mmm-yyyy")</f>
        <v>Dec-2024</v>
      </c>
      <c r="P178" s="1">
        <f>YEAR(Sales_Data[[#This Row],[Date]])</f>
        <v>2024</v>
      </c>
      <c r="Q178" s="13">
        <f t="shared" ca="1" si="10"/>
        <v>940</v>
      </c>
      <c r="R178" s="1">
        <f t="shared" ca="1" si="11"/>
        <v>2</v>
      </c>
      <c r="S178" s="17">
        <f t="shared" si="12"/>
        <v>45657</v>
      </c>
      <c r="T178" s="1" t="str">
        <f t="shared" si="13"/>
        <v>Normal</v>
      </c>
      <c r="U178" s="20">
        <f t="shared" ca="1" si="14"/>
        <v>46287.029763888888</v>
      </c>
    </row>
    <row r="179" spans="1:21" ht="15.75" thickBot="1" x14ac:dyDescent="0.3">
      <c r="A179" s="4" t="s">
        <v>322</v>
      </c>
      <c r="B179" s="2">
        <v>45657</v>
      </c>
      <c r="C179" s="1" t="s">
        <v>86</v>
      </c>
      <c r="D179" s="1" t="s">
        <v>87</v>
      </c>
      <c r="E179" s="1" t="s">
        <v>61</v>
      </c>
      <c r="F179" s="1" t="s">
        <v>62</v>
      </c>
      <c r="G179" s="39" t="s">
        <v>19</v>
      </c>
      <c r="H179" s="3">
        <v>1</v>
      </c>
      <c r="I179" s="3">
        <v>899.99</v>
      </c>
      <c r="J179" s="1" t="s">
        <v>34</v>
      </c>
      <c r="K179" s="1" t="s">
        <v>40</v>
      </c>
      <c r="L179" s="1" t="s">
        <v>27</v>
      </c>
      <c r="M179" s="2">
        <v>45050</v>
      </c>
      <c r="N179" s="43">
        <v>899.99</v>
      </c>
      <c r="O179" s="1" t="str">
        <f>TEXT(Sales_Data[[#This Row],[Date]],"mmm-yyyy")</f>
        <v>Dec-2024</v>
      </c>
      <c r="P179" s="1">
        <f>YEAR(Sales_Data[[#This Row],[Date]])</f>
        <v>2024</v>
      </c>
      <c r="Q179" s="13">
        <f t="shared" ca="1" si="10"/>
        <v>1237</v>
      </c>
      <c r="R179" s="1">
        <f t="shared" ca="1" si="11"/>
        <v>3</v>
      </c>
      <c r="S179" s="17">
        <f t="shared" si="12"/>
        <v>45657</v>
      </c>
      <c r="T179" s="1" t="str">
        <f t="shared" si="13"/>
        <v>Normal</v>
      </c>
      <c r="U179" s="20">
        <f t="shared" ca="1" si="14"/>
        <v>46287.029763888888</v>
      </c>
    </row>
    <row r="180" spans="1:21" ht="15.75" thickBot="1" x14ac:dyDescent="0.3">
      <c r="A180" s="4" t="s">
        <v>323</v>
      </c>
      <c r="B180" s="2">
        <v>45660</v>
      </c>
      <c r="C180" s="1" t="s">
        <v>147</v>
      </c>
      <c r="D180" s="1" t="s">
        <v>148</v>
      </c>
      <c r="E180" s="1" t="s">
        <v>117</v>
      </c>
      <c r="F180" s="1" t="s">
        <v>118</v>
      </c>
      <c r="G180" s="39" t="s">
        <v>19</v>
      </c>
      <c r="H180" s="3">
        <v>2</v>
      </c>
      <c r="I180" s="3">
        <v>89.99</v>
      </c>
      <c r="J180" s="1" t="s">
        <v>26</v>
      </c>
      <c r="K180" s="1" t="s">
        <v>35</v>
      </c>
      <c r="L180" s="1" t="s">
        <v>27</v>
      </c>
      <c r="M180" s="2">
        <v>44564</v>
      </c>
      <c r="N180" s="43">
        <v>179.98</v>
      </c>
      <c r="O180" s="1" t="str">
        <f>TEXT(Sales_Data[[#This Row],[Date]],"mmm-yyyy")</f>
        <v>Jan-2025</v>
      </c>
      <c r="P180" s="1">
        <f>YEAR(Sales_Data[[#This Row],[Date]])</f>
        <v>2025</v>
      </c>
      <c r="Q180" s="13">
        <f t="shared" ca="1" si="10"/>
        <v>1723</v>
      </c>
      <c r="R180" s="1">
        <f t="shared" ca="1" si="11"/>
        <v>4</v>
      </c>
      <c r="S180" s="17">
        <f t="shared" si="12"/>
        <v>45688</v>
      </c>
      <c r="T180" s="1" t="str">
        <f t="shared" si="13"/>
        <v>Normal</v>
      </c>
      <c r="U180" s="20">
        <f t="shared" ca="1" si="14"/>
        <v>46287.029763888888</v>
      </c>
    </row>
    <row r="181" spans="1:21" ht="15.75" thickBot="1" x14ac:dyDescent="0.3">
      <c r="A181" s="4" t="s">
        <v>324</v>
      </c>
      <c r="B181" s="2">
        <v>45661</v>
      </c>
      <c r="C181" s="1" t="s">
        <v>325</v>
      </c>
      <c r="D181" s="1" t="s">
        <v>326</v>
      </c>
      <c r="E181" s="1" t="s">
        <v>61</v>
      </c>
      <c r="F181" s="1" t="s">
        <v>62</v>
      </c>
      <c r="G181" s="39" t="s">
        <v>19</v>
      </c>
      <c r="H181" s="3">
        <v>1</v>
      </c>
      <c r="I181" s="3">
        <v>899.99</v>
      </c>
      <c r="J181" s="1" t="s">
        <v>34</v>
      </c>
      <c r="K181" s="1" t="s">
        <v>40</v>
      </c>
      <c r="L181" s="1" t="s">
        <v>36</v>
      </c>
      <c r="M181" s="2">
        <v>44752</v>
      </c>
      <c r="N181" s="43">
        <v>899.99</v>
      </c>
      <c r="O181" s="1" t="str">
        <f>TEXT(Sales_Data[[#This Row],[Date]],"mmm-yyyy")</f>
        <v>Jan-2025</v>
      </c>
      <c r="P181" s="1">
        <f>YEAR(Sales_Data[[#This Row],[Date]])</f>
        <v>2025</v>
      </c>
      <c r="Q181" s="13">
        <f t="shared" ca="1" si="10"/>
        <v>1535</v>
      </c>
      <c r="R181" s="1">
        <f t="shared" ca="1" si="11"/>
        <v>4</v>
      </c>
      <c r="S181" s="17">
        <f t="shared" si="12"/>
        <v>45688</v>
      </c>
      <c r="T181" s="1" t="str">
        <f t="shared" si="13"/>
        <v>Normal</v>
      </c>
      <c r="U181" s="20">
        <f t="shared" ca="1" si="14"/>
        <v>46287.029763888888</v>
      </c>
    </row>
    <row r="182" spans="1:21" ht="15.75" thickBot="1" x14ac:dyDescent="0.3">
      <c r="A182" s="4" t="s">
        <v>327</v>
      </c>
      <c r="B182" s="2">
        <v>45663</v>
      </c>
      <c r="C182" s="1" t="s">
        <v>129</v>
      </c>
      <c r="D182" s="1" t="s">
        <v>130</v>
      </c>
      <c r="E182" s="1" t="s">
        <v>52</v>
      </c>
      <c r="F182" s="1" t="s">
        <v>53</v>
      </c>
      <c r="G182" s="39" t="s">
        <v>19</v>
      </c>
      <c r="H182" s="3">
        <v>5</v>
      </c>
      <c r="I182" s="3">
        <v>149.99</v>
      </c>
      <c r="J182" s="1" t="s">
        <v>34</v>
      </c>
      <c r="K182" s="1" t="s">
        <v>63</v>
      </c>
      <c r="L182" s="1" t="s">
        <v>27</v>
      </c>
      <c r="M182" s="2">
        <v>44824</v>
      </c>
      <c r="N182" s="43">
        <v>749.95</v>
      </c>
      <c r="O182" s="1" t="str">
        <f>TEXT(Sales_Data[[#This Row],[Date]],"mmm-yyyy")</f>
        <v>Jan-2025</v>
      </c>
      <c r="P182" s="1">
        <f>YEAR(Sales_Data[[#This Row],[Date]])</f>
        <v>2025</v>
      </c>
      <c r="Q182" s="13">
        <f t="shared" ca="1" si="10"/>
        <v>1463</v>
      </c>
      <c r="R182" s="1">
        <f t="shared" ca="1" si="11"/>
        <v>4</v>
      </c>
      <c r="S182" s="17">
        <f t="shared" si="12"/>
        <v>45688</v>
      </c>
      <c r="T182" s="1" t="str">
        <f t="shared" si="13"/>
        <v>Normal</v>
      </c>
      <c r="U182" s="20">
        <f t="shared" ca="1" si="14"/>
        <v>46287.029763888888</v>
      </c>
    </row>
    <row r="183" spans="1:21" ht="15.75" thickBot="1" x14ac:dyDescent="0.3">
      <c r="A183" s="4" t="s">
        <v>328</v>
      </c>
      <c r="B183" s="2">
        <v>45663</v>
      </c>
      <c r="C183" s="1" t="s">
        <v>42</v>
      </c>
      <c r="D183" s="1" t="s">
        <v>43</v>
      </c>
      <c r="E183" s="1" t="s">
        <v>105</v>
      </c>
      <c r="F183" s="1" t="s">
        <v>106</v>
      </c>
      <c r="G183" s="39" t="s">
        <v>46</v>
      </c>
      <c r="H183" s="3">
        <v>3</v>
      </c>
      <c r="I183" s="3">
        <v>299.99</v>
      </c>
      <c r="J183" s="1" t="s">
        <v>20</v>
      </c>
      <c r="K183" s="1" t="s">
        <v>35</v>
      </c>
      <c r="L183" s="1" t="s">
        <v>36</v>
      </c>
      <c r="M183" s="2">
        <v>44422</v>
      </c>
      <c r="N183" s="43">
        <v>899.97</v>
      </c>
      <c r="O183" s="1" t="str">
        <f>TEXT(Sales_Data[[#This Row],[Date]],"mmm-yyyy")</f>
        <v>Jan-2025</v>
      </c>
      <c r="P183" s="1">
        <f>YEAR(Sales_Data[[#This Row],[Date]])</f>
        <v>2025</v>
      </c>
      <c r="Q183" s="13">
        <f t="shared" ca="1" si="10"/>
        <v>1865</v>
      </c>
      <c r="R183" s="1">
        <f t="shared" ca="1" si="11"/>
        <v>5</v>
      </c>
      <c r="S183" s="17">
        <f t="shared" si="12"/>
        <v>45688</v>
      </c>
      <c r="T183" s="1" t="str">
        <f t="shared" si="13"/>
        <v>Normal</v>
      </c>
      <c r="U183" s="20">
        <f t="shared" ca="1" si="14"/>
        <v>46287.029763888888</v>
      </c>
    </row>
    <row r="184" spans="1:21" ht="15.75" thickBot="1" x14ac:dyDescent="0.3">
      <c r="A184" s="4" t="s">
        <v>329</v>
      </c>
      <c r="B184" s="2">
        <v>45666</v>
      </c>
      <c r="C184" s="1" t="s">
        <v>65</v>
      </c>
      <c r="D184" s="1" t="s">
        <v>66</v>
      </c>
      <c r="E184" s="1" t="s">
        <v>80</v>
      </c>
      <c r="F184" s="1" t="s">
        <v>81</v>
      </c>
      <c r="G184" s="39" t="s">
        <v>19</v>
      </c>
      <c r="H184" s="3">
        <v>3</v>
      </c>
      <c r="I184" s="3">
        <v>699.99</v>
      </c>
      <c r="J184" s="1" t="s">
        <v>26</v>
      </c>
      <c r="K184" s="1" t="s">
        <v>21</v>
      </c>
      <c r="L184" s="1" t="s">
        <v>27</v>
      </c>
      <c r="M184" s="2">
        <v>45105</v>
      </c>
      <c r="N184" s="43">
        <v>2099.9699999999998</v>
      </c>
      <c r="O184" s="1" t="str">
        <f>TEXT(Sales_Data[[#This Row],[Date]],"mmm-yyyy")</f>
        <v>Jan-2025</v>
      </c>
      <c r="P184" s="1">
        <f>YEAR(Sales_Data[[#This Row],[Date]])</f>
        <v>2025</v>
      </c>
      <c r="Q184" s="13">
        <f t="shared" ca="1" si="10"/>
        <v>1182</v>
      </c>
      <c r="R184" s="1">
        <f t="shared" ca="1" si="11"/>
        <v>3</v>
      </c>
      <c r="S184" s="17">
        <f t="shared" si="12"/>
        <v>45688</v>
      </c>
      <c r="T184" s="1" t="str">
        <f t="shared" si="13"/>
        <v>High Value</v>
      </c>
      <c r="U184" s="20">
        <f t="shared" ca="1" si="14"/>
        <v>46287.029763888888</v>
      </c>
    </row>
    <row r="185" spans="1:21" ht="15.75" thickBot="1" x14ac:dyDescent="0.3">
      <c r="A185" s="4" t="s">
        <v>330</v>
      </c>
      <c r="B185" s="2">
        <v>45667</v>
      </c>
      <c r="C185" s="1" t="s">
        <v>108</v>
      </c>
      <c r="D185" s="1" t="s">
        <v>109</v>
      </c>
      <c r="E185" s="1" t="s">
        <v>126</v>
      </c>
      <c r="F185" s="1" t="s">
        <v>127</v>
      </c>
      <c r="G185" s="39" t="s">
        <v>46</v>
      </c>
      <c r="H185" s="3">
        <v>5</v>
      </c>
      <c r="I185" s="3">
        <v>199.99</v>
      </c>
      <c r="J185" s="1" t="s">
        <v>34</v>
      </c>
      <c r="K185" s="1" t="s">
        <v>21</v>
      </c>
      <c r="L185" s="1" t="s">
        <v>36</v>
      </c>
      <c r="M185" s="2">
        <v>44633</v>
      </c>
      <c r="N185" s="43">
        <v>999.95</v>
      </c>
      <c r="O185" s="1" t="str">
        <f>TEXT(Sales_Data[[#This Row],[Date]],"mmm-yyyy")</f>
        <v>Jan-2025</v>
      </c>
      <c r="P185" s="1">
        <f>YEAR(Sales_Data[[#This Row],[Date]])</f>
        <v>2025</v>
      </c>
      <c r="Q185" s="13">
        <f t="shared" ca="1" si="10"/>
        <v>1654</v>
      </c>
      <c r="R185" s="1">
        <f t="shared" ca="1" si="11"/>
        <v>4</v>
      </c>
      <c r="S185" s="17">
        <f t="shared" si="12"/>
        <v>45688</v>
      </c>
      <c r="T185" s="1" t="str">
        <f t="shared" si="13"/>
        <v>Normal</v>
      </c>
      <c r="U185" s="20">
        <f t="shared" ca="1" si="14"/>
        <v>46287.029763888888</v>
      </c>
    </row>
    <row r="186" spans="1:21" ht="15.75" thickBot="1" x14ac:dyDescent="0.3">
      <c r="A186" s="4" t="s">
        <v>331</v>
      </c>
      <c r="B186" s="2">
        <v>45667</v>
      </c>
      <c r="C186" s="1" t="s">
        <v>93</v>
      </c>
      <c r="D186" s="1" t="s">
        <v>94</v>
      </c>
      <c r="E186" s="1" t="s">
        <v>17</v>
      </c>
      <c r="F186" s="1" t="s">
        <v>18</v>
      </c>
      <c r="G186" s="39" t="s">
        <v>19</v>
      </c>
      <c r="H186" s="3">
        <v>5</v>
      </c>
      <c r="I186" s="3">
        <v>249.99</v>
      </c>
      <c r="J186" s="1" t="s">
        <v>26</v>
      </c>
      <c r="K186" s="1" t="s">
        <v>35</v>
      </c>
      <c r="L186" s="1" t="s">
        <v>22</v>
      </c>
      <c r="M186" s="2">
        <v>45330</v>
      </c>
      <c r="N186" s="43">
        <v>1249.95</v>
      </c>
      <c r="O186" s="1" t="str">
        <f>TEXT(Sales_Data[[#This Row],[Date]],"mmm-yyyy")</f>
        <v>Jan-2025</v>
      </c>
      <c r="P186" s="1">
        <f>YEAR(Sales_Data[[#This Row],[Date]])</f>
        <v>2025</v>
      </c>
      <c r="Q186" s="13">
        <f t="shared" ca="1" si="10"/>
        <v>957</v>
      </c>
      <c r="R186" s="1">
        <f t="shared" ca="1" si="11"/>
        <v>2</v>
      </c>
      <c r="S186" s="17">
        <f t="shared" si="12"/>
        <v>45688</v>
      </c>
      <c r="T186" s="1" t="str">
        <f t="shared" si="13"/>
        <v>High Value</v>
      </c>
      <c r="U186" s="20">
        <f t="shared" ca="1" si="14"/>
        <v>46287.029763888888</v>
      </c>
    </row>
    <row r="187" spans="1:21" ht="15.75" thickBot="1" x14ac:dyDescent="0.3">
      <c r="A187" s="4" t="s">
        <v>332</v>
      </c>
      <c r="B187" s="2">
        <v>45668</v>
      </c>
      <c r="C187" s="1" t="s">
        <v>138</v>
      </c>
      <c r="D187" s="1" t="s">
        <v>139</v>
      </c>
      <c r="E187" s="1" t="s">
        <v>52</v>
      </c>
      <c r="F187" s="1" t="s">
        <v>53</v>
      </c>
      <c r="G187" s="39" t="s">
        <v>19</v>
      </c>
      <c r="H187" s="3">
        <v>4</v>
      </c>
      <c r="I187" s="3">
        <v>149.99</v>
      </c>
      <c r="J187" s="1" t="s">
        <v>57</v>
      </c>
      <c r="K187" s="1" t="s">
        <v>63</v>
      </c>
      <c r="L187" s="1" t="s">
        <v>36</v>
      </c>
      <c r="M187" s="2">
        <v>44536</v>
      </c>
      <c r="N187" s="43">
        <v>599.96</v>
      </c>
      <c r="O187" s="1" t="str">
        <f>TEXT(Sales_Data[[#This Row],[Date]],"mmm-yyyy")</f>
        <v>Jan-2025</v>
      </c>
      <c r="P187" s="1">
        <f>YEAR(Sales_Data[[#This Row],[Date]])</f>
        <v>2025</v>
      </c>
      <c r="Q187" s="13">
        <f t="shared" ca="1" si="10"/>
        <v>1751</v>
      </c>
      <c r="R187" s="1">
        <f t="shared" ca="1" si="11"/>
        <v>4</v>
      </c>
      <c r="S187" s="17">
        <f t="shared" si="12"/>
        <v>45688</v>
      </c>
      <c r="T187" s="1" t="str">
        <f t="shared" si="13"/>
        <v>Normal</v>
      </c>
      <c r="U187" s="20">
        <f t="shared" ca="1" si="14"/>
        <v>46287.029763888888</v>
      </c>
    </row>
    <row r="188" spans="1:21" ht="15.75" thickBot="1" x14ac:dyDescent="0.3">
      <c r="A188" s="4" t="s">
        <v>333</v>
      </c>
      <c r="B188" s="2">
        <v>45668</v>
      </c>
      <c r="C188" s="1" t="s">
        <v>78</v>
      </c>
      <c r="D188" s="1" t="s">
        <v>79</v>
      </c>
      <c r="E188" s="1" t="s">
        <v>80</v>
      </c>
      <c r="F188" s="1" t="s">
        <v>81</v>
      </c>
      <c r="G188" s="39" t="s">
        <v>19</v>
      </c>
      <c r="H188" s="3">
        <v>3</v>
      </c>
      <c r="I188" s="3">
        <v>699.99</v>
      </c>
      <c r="J188" s="1" t="s">
        <v>20</v>
      </c>
      <c r="K188" s="1" t="s">
        <v>40</v>
      </c>
      <c r="L188" s="1" t="s">
        <v>27</v>
      </c>
      <c r="M188" s="2">
        <v>44602</v>
      </c>
      <c r="N188" s="43">
        <v>2099.9699999999998</v>
      </c>
      <c r="O188" s="1" t="str">
        <f>TEXT(Sales_Data[[#This Row],[Date]],"mmm-yyyy")</f>
        <v>Jan-2025</v>
      </c>
      <c r="P188" s="1">
        <f>YEAR(Sales_Data[[#This Row],[Date]])</f>
        <v>2025</v>
      </c>
      <c r="Q188" s="13">
        <f t="shared" ca="1" si="10"/>
        <v>1685</v>
      </c>
      <c r="R188" s="1">
        <f t="shared" ca="1" si="11"/>
        <v>4</v>
      </c>
      <c r="S188" s="17">
        <f t="shared" si="12"/>
        <v>45688</v>
      </c>
      <c r="T188" s="1" t="str">
        <f t="shared" si="13"/>
        <v>High Value</v>
      </c>
      <c r="U188" s="20">
        <f t="shared" ca="1" si="14"/>
        <v>46287.029763888888</v>
      </c>
    </row>
    <row r="189" spans="1:21" ht="15.75" thickBot="1" x14ac:dyDescent="0.3">
      <c r="A189" s="4" t="s">
        <v>334</v>
      </c>
      <c r="B189" s="2">
        <v>45670</v>
      </c>
      <c r="C189" s="1" t="s">
        <v>293</v>
      </c>
      <c r="D189" s="1" t="s">
        <v>294</v>
      </c>
      <c r="E189" s="1" t="s">
        <v>114</v>
      </c>
      <c r="F189" s="1" t="s">
        <v>115</v>
      </c>
      <c r="G189" s="39" t="s">
        <v>33</v>
      </c>
      <c r="H189" s="3">
        <v>1</v>
      </c>
      <c r="I189" s="3">
        <v>79.989999999999995</v>
      </c>
      <c r="J189" s="1" t="s">
        <v>26</v>
      </c>
      <c r="K189" s="1" t="s">
        <v>35</v>
      </c>
      <c r="L189" s="1" t="s">
        <v>22</v>
      </c>
      <c r="M189" s="2">
        <v>45322</v>
      </c>
      <c r="N189" s="43">
        <v>79.989999999999995</v>
      </c>
      <c r="O189" s="1" t="str">
        <f>TEXT(Sales_Data[[#This Row],[Date]],"mmm-yyyy")</f>
        <v>Jan-2025</v>
      </c>
      <c r="P189" s="1">
        <f>YEAR(Sales_Data[[#This Row],[Date]])</f>
        <v>2025</v>
      </c>
      <c r="Q189" s="13">
        <f t="shared" ca="1" si="10"/>
        <v>965</v>
      </c>
      <c r="R189" s="1">
        <f t="shared" ca="1" si="11"/>
        <v>2</v>
      </c>
      <c r="S189" s="17">
        <f t="shared" si="12"/>
        <v>45688</v>
      </c>
      <c r="T189" s="1" t="str">
        <f t="shared" si="13"/>
        <v>Normal</v>
      </c>
      <c r="U189" s="20">
        <f t="shared" ca="1" si="14"/>
        <v>46287.029763888888</v>
      </c>
    </row>
    <row r="190" spans="1:21" ht="15.75" thickBot="1" x14ac:dyDescent="0.3">
      <c r="A190" s="4" t="s">
        <v>335</v>
      </c>
      <c r="B190" s="2">
        <v>45670</v>
      </c>
      <c r="C190" s="1" t="s">
        <v>86</v>
      </c>
      <c r="D190" s="1" t="s">
        <v>87</v>
      </c>
      <c r="E190" s="1" t="s">
        <v>105</v>
      </c>
      <c r="F190" s="1" t="s">
        <v>106</v>
      </c>
      <c r="G190" s="39" t="s">
        <v>46</v>
      </c>
      <c r="H190" s="3">
        <v>1</v>
      </c>
      <c r="I190" s="3">
        <v>299.99</v>
      </c>
      <c r="J190" s="1" t="s">
        <v>26</v>
      </c>
      <c r="K190" s="1" t="s">
        <v>40</v>
      </c>
      <c r="L190" s="1" t="s">
        <v>22</v>
      </c>
      <c r="M190" s="2">
        <v>44436</v>
      </c>
      <c r="N190" s="43">
        <v>299.99</v>
      </c>
      <c r="O190" s="1" t="str">
        <f>TEXT(Sales_Data[[#This Row],[Date]],"mmm-yyyy")</f>
        <v>Jan-2025</v>
      </c>
      <c r="P190" s="1">
        <f>YEAR(Sales_Data[[#This Row],[Date]])</f>
        <v>2025</v>
      </c>
      <c r="Q190" s="13">
        <f t="shared" ca="1" si="10"/>
        <v>1851</v>
      </c>
      <c r="R190" s="1">
        <f t="shared" ca="1" si="11"/>
        <v>5</v>
      </c>
      <c r="S190" s="17">
        <f t="shared" si="12"/>
        <v>45688</v>
      </c>
      <c r="T190" s="1" t="str">
        <f t="shared" si="13"/>
        <v>Normal</v>
      </c>
      <c r="U190" s="20">
        <f t="shared" ca="1" si="14"/>
        <v>46287.029763888888</v>
      </c>
    </row>
    <row r="191" spans="1:21" ht="15.75" thickBot="1" x14ac:dyDescent="0.3">
      <c r="A191" s="4" t="s">
        <v>336</v>
      </c>
      <c r="B191" s="2">
        <v>45671</v>
      </c>
      <c r="C191" s="1" t="s">
        <v>158</v>
      </c>
      <c r="D191" s="1" t="s">
        <v>159</v>
      </c>
      <c r="E191" s="1" t="s">
        <v>17</v>
      </c>
      <c r="F191" s="1" t="s">
        <v>18</v>
      </c>
      <c r="G191" s="39" t="s">
        <v>19</v>
      </c>
      <c r="H191" s="3">
        <v>4</v>
      </c>
      <c r="I191" s="3">
        <v>249.99</v>
      </c>
      <c r="J191" s="1" t="s">
        <v>26</v>
      </c>
      <c r="K191" s="1" t="s">
        <v>40</v>
      </c>
      <c r="L191" s="1" t="s">
        <v>27</v>
      </c>
      <c r="M191" s="2">
        <v>44460</v>
      </c>
      <c r="N191" s="43">
        <v>999.96</v>
      </c>
      <c r="O191" s="1" t="str">
        <f>TEXT(Sales_Data[[#This Row],[Date]],"mmm-yyyy")</f>
        <v>Jan-2025</v>
      </c>
      <c r="P191" s="1">
        <f>YEAR(Sales_Data[[#This Row],[Date]])</f>
        <v>2025</v>
      </c>
      <c r="Q191" s="13">
        <f t="shared" ca="1" si="10"/>
        <v>1827</v>
      </c>
      <c r="R191" s="1">
        <f t="shared" ca="1" si="11"/>
        <v>5</v>
      </c>
      <c r="S191" s="17">
        <f t="shared" si="12"/>
        <v>45688</v>
      </c>
      <c r="T191" s="1" t="str">
        <f t="shared" si="13"/>
        <v>Normal</v>
      </c>
      <c r="U191" s="20">
        <f t="shared" ca="1" si="14"/>
        <v>46287.029763888888</v>
      </c>
    </row>
    <row r="192" spans="1:21" ht="15.75" thickBot="1" x14ac:dyDescent="0.3">
      <c r="A192" s="4" t="s">
        <v>337</v>
      </c>
      <c r="B192" s="2">
        <v>45671</v>
      </c>
      <c r="C192" s="1" t="s">
        <v>120</v>
      </c>
      <c r="D192" s="1" t="s">
        <v>121</v>
      </c>
      <c r="E192" s="1" t="s">
        <v>52</v>
      </c>
      <c r="F192" s="1" t="s">
        <v>53</v>
      </c>
      <c r="G192" s="39" t="s">
        <v>19</v>
      </c>
      <c r="H192" s="3">
        <v>2</v>
      </c>
      <c r="I192" s="3">
        <v>149.99</v>
      </c>
      <c r="J192" s="1" t="s">
        <v>20</v>
      </c>
      <c r="K192" s="1" t="s">
        <v>40</v>
      </c>
      <c r="L192" s="1" t="s">
        <v>36</v>
      </c>
      <c r="M192" s="2">
        <v>44913</v>
      </c>
      <c r="N192" s="43">
        <v>299.98</v>
      </c>
      <c r="O192" s="1" t="str">
        <f>TEXT(Sales_Data[[#This Row],[Date]],"mmm-yyyy")</f>
        <v>Jan-2025</v>
      </c>
      <c r="P192" s="1">
        <f>YEAR(Sales_Data[[#This Row],[Date]])</f>
        <v>2025</v>
      </c>
      <c r="Q192" s="13">
        <f t="shared" ca="1" si="10"/>
        <v>1374</v>
      </c>
      <c r="R192" s="1">
        <f t="shared" ca="1" si="11"/>
        <v>3</v>
      </c>
      <c r="S192" s="17">
        <f t="shared" si="12"/>
        <v>45688</v>
      </c>
      <c r="T192" s="1" t="str">
        <f t="shared" si="13"/>
        <v>Normal</v>
      </c>
      <c r="U192" s="20">
        <f t="shared" ca="1" si="14"/>
        <v>46287.029763888888</v>
      </c>
    </row>
    <row r="193" spans="1:21" ht="15.75" thickBot="1" x14ac:dyDescent="0.3">
      <c r="A193" s="4" t="s">
        <v>338</v>
      </c>
      <c r="B193" s="2">
        <v>45671</v>
      </c>
      <c r="C193" s="1" t="s">
        <v>234</v>
      </c>
      <c r="D193" s="1" t="s">
        <v>235</v>
      </c>
      <c r="E193" s="1" t="s">
        <v>105</v>
      </c>
      <c r="F193" s="1" t="s">
        <v>106</v>
      </c>
      <c r="G193" s="39" t="s">
        <v>46</v>
      </c>
      <c r="H193" s="3">
        <v>3</v>
      </c>
      <c r="I193" s="3">
        <v>299.99</v>
      </c>
      <c r="J193" s="1" t="s">
        <v>26</v>
      </c>
      <c r="K193" s="1" t="s">
        <v>35</v>
      </c>
      <c r="L193" s="1" t="s">
        <v>22</v>
      </c>
      <c r="M193" s="2">
        <v>45204</v>
      </c>
      <c r="N193" s="43">
        <v>899.97</v>
      </c>
      <c r="O193" s="1" t="str">
        <f>TEXT(Sales_Data[[#This Row],[Date]],"mmm-yyyy")</f>
        <v>Jan-2025</v>
      </c>
      <c r="P193" s="1">
        <f>YEAR(Sales_Data[[#This Row],[Date]])</f>
        <v>2025</v>
      </c>
      <c r="Q193" s="13">
        <f t="shared" ca="1" si="10"/>
        <v>1083</v>
      </c>
      <c r="R193" s="1">
        <f t="shared" ca="1" si="11"/>
        <v>2</v>
      </c>
      <c r="S193" s="17">
        <f t="shared" si="12"/>
        <v>45688</v>
      </c>
      <c r="T193" s="1" t="str">
        <f t="shared" si="13"/>
        <v>Normal</v>
      </c>
      <c r="U193" s="20">
        <f t="shared" ca="1" si="14"/>
        <v>46287.029763888888</v>
      </c>
    </row>
    <row r="194" spans="1:21" ht="15.75" thickBot="1" x14ac:dyDescent="0.3">
      <c r="A194" s="4" t="s">
        <v>339</v>
      </c>
      <c r="B194" s="2">
        <v>45673</v>
      </c>
      <c r="C194" s="1" t="s">
        <v>226</v>
      </c>
      <c r="D194" s="1" t="s">
        <v>227</v>
      </c>
      <c r="E194" s="1" t="s">
        <v>126</v>
      </c>
      <c r="F194" s="1" t="s">
        <v>127</v>
      </c>
      <c r="G194" s="39" t="s">
        <v>46</v>
      </c>
      <c r="H194" s="3">
        <v>4</v>
      </c>
      <c r="I194" s="3">
        <v>199.99</v>
      </c>
      <c r="J194" s="1" t="s">
        <v>57</v>
      </c>
      <c r="K194" s="1" t="s">
        <v>35</v>
      </c>
      <c r="L194" s="1" t="s">
        <v>36</v>
      </c>
      <c r="M194" s="2">
        <v>44544</v>
      </c>
      <c r="N194" s="43">
        <v>799.96</v>
      </c>
      <c r="O194" s="1" t="str">
        <f>TEXT(Sales_Data[[#This Row],[Date]],"mmm-yyyy")</f>
        <v>Jan-2025</v>
      </c>
      <c r="P194" s="1">
        <f>YEAR(Sales_Data[[#This Row],[Date]])</f>
        <v>2025</v>
      </c>
      <c r="Q194" s="13">
        <f t="shared" ref="Q194:Q251" ca="1" si="15">TODAY()-M194</f>
        <v>1743</v>
      </c>
      <c r="R194" s="1">
        <f t="shared" ref="R194:R251" ca="1" si="16">DATEDIF(M194,TODAY(),"Y")</f>
        <v>4</v>
      </c>
      <c r="S194" s="17">
        <f t="shared" ref="S194:S251" si="17">EOMONTH(B194,0)</f>
        <v>45688</v>
      </c>
      <c r="T194" s="1" t="str">
        <f t="shared" ref="T194:T251" si="18">IF(N194&gt;=1000,"High Value","Normal")</f>
        <v>Normal</v>
      </c>
      <c r="U194" s="20">
        <f t="shared" ref="U194:U251" ca="1" si="19">NOW()</f>
        <v>46287.029763888888</v>
      </c>
    </row>
    <row r="195" spans="1:21" ht="15.75" thickBot="1" x14ac:dyDescent="0.3">
      <c r="A195" s="4" t="s">
        <v>340</v>
      </c>
      <c r="B195" s="2">
        <v>45673</v>
      </c>
      <c r="C195" s="1" t="s">
        <v>211</v>
      </c>
      <c r="D195" s="1" t="s">
        <v>212</v>
      </c>
      <c r="E195" s="1" t="s">
        <v>105</v>
      </c>
      <c r="F195" s="1" t="s">
        <v>106</v>
      </c>
      <c r="G195" s="39" t="s">
        <v>46</v>
      </c>
      <c r="H195" s="3">
        <v>5</v>
      </c>
      <c r="I195" s="3">
        <v>299.99</v>
      </c>
      <c r="J195" s="1" t="s">
        <v>57</v>
      </c>
      <c r="K195" s="1" t="s">
        <v>21</v>
      </c>
      <c r="L195" s="1" t="s">
        <v>22</v>
      </c>
      <c r="M195" s="2">
        <v>44431</v>
      </c>
      <c r="N195" s="43">
        <v>1499.95</v>
      </c>
      <c r="O195" s="1" t="str">
        <f>TEXT(Sales_Data[[#This Row],[Date]],"mmm-yyyy")</f>
        <v>Jan-2025</v>
      </c>
      <c r="P195" s="1">
        <f>YEAR(Sales_Data[[#This Row],[Date]])</f>
        <v>2025</v>
      </c>
      <c r="Q195" s="13">
        <f t="shared" ca="1" si="15"/>
        <v>1856</v>
      </c>
      <c r="R195" s="1">
        <f t="shared" ca="1" si="16"/>
        <v>5</v>
      </c>
      <c r="S195" s="17">
        <f t="shared" si="17"/>
        <v>45688</v>
      </c>
      <c r="T195" s="1" t="str">
        <f t="shared" si="18"/>
        <v>High Value</v>
      </c>
      <c r="U195" s="20">
        <f t="shared" ca="1" si="19"/>
        <v>46287.029763888888</v>
      </c>
    </row>
    <row r="196" spans="1:21" ht="15.75" thickBot="1" x14ac:dyDescent="0.3">
      <c r="A196" s="4" t="s">
        <v>341</v>
      </c>
      <c r="B196" s="2">
        <v>45673</v>
      </c>
      <c r="C196" s="1" t="s">
        <v>59</v>
      </c>
      <c r="D196" s="1" t="s">
        <v>60</v>
      </c>
      <c r="E196" s="1" t="s">
        <v>44</v>
      </c>
      <c r="F196" s="1" t="s">
        <v>45</v>
      </c>
      <c r="G196" s="39" t="s">
        <v>46</v>
      </c>
      <c r="H196" s="3">
        <v>3</v>
      </c>
      <c r="I196" s="3">
        <v>149.99</v>
      </c>
      <c r="J196" s="1" t="s">
        <v>26</v>
      </c>
      <c r="K196" s="1" t="s">
        <v>63</v>
      </c>
      <c r="L196" s="1" t="s">
        <v>36</v>
      </c>
      <c r="M196" s="2">
        <v>44395</v>
      </c>
      <c r="N196" s="43">
        <v>449.97</v>
      </c>
      <c r="O196" s="1" t="str">
        <f>TEXT(Sales_Data[[#This Row],[Date]],"mmm-yyyy")</f>
        <v>Jan-2025</v>
      </c>
      <c r="P196" s="1">
        <f>YEAR(Sales_Data[[#This Row],[Date]])</f>
        <v>2025</v>
      </c>
      <c r="Q196" s="13">
        <f t="shared" ca="1" si="15"/>
        <v>1892</v>
      </c>
      <c r="R196" s="1">
        <f t="shared" ca="1" si="16"/>
        <v>5</v>
      </c>
      <c r="S196" s="17">
        <f t="shared" si="17"/>
        <v>45688</v>
      </c>
      <c r="T196" s="1" t="str">
        <f t="shared" si="18"/>
        <v>Normal</v>
      </c>
      <c r="U196" s="20">
        <f t="shared" ca="1" si="19"/>
        <v>46287.029763888888</v>
      </c>
    </row>
    <row r="197" spans="1:21" ht="15.75" thickBot="1" x14ac:dyDescent="0.3">
      <c r="A197" s="4" t="s">
        <v>342</v>
      </c>
      <c r="B197" s="2">
        <v>45676</v>
      </c>
      <c r="C197" s="1" t="s">
        <v>129</v>
      </c>
      <c r="D197" s="1" t="s">
        <v>130</v>
      </c>
      <c r="E197" s="1" t="s">
        <v>31</v>
      </c>
      <c r="F197" s="1" t="s">
        <v>32</v>
      </c>
      <c r="G197" s="39" t="s">
        <v>33</v>
      </c>
      <c r="H197" s="3">
        <v>5</v>
      </c>
      <c r="I197" s="3">
        <v>59.99</v>
      </c>
      <c r="J197" s="1" t="s">
        <v>57</v>
      </c>
      <c r="K197" s="1" t="s">
        <v>63</v>
      </c>
      <c r="L197" s="1" t="s">
        <v>22</v>
      </c>
      <c r="M197" s="2">
        <v>44642</v>
      </c>
      <c r="N197" s="43">
        <v>299.95</v>
      </c>
      <c r="O197" s="1" t="str">
        <f>TEXT(Sales_Data[[#This Row],[Date]],"mmm-yyyy")</f>
        <v>Jan-2025</v>
      </c>
      <c r="P197" s="1">
        <f>YEAR(Sales_Data[[#This Row],[Date]])</f>
        <v>2025</v>
      </c>
      <c r="Q197" s="13">
        <f t="shared" ca="1" si="15"/>
        <v>1645</v>
      </c>
      <c r="R197" s="1">
        <f t="shared" ca="1" si="16"/>
        <v>4</v>
      </c>
      <c r="S197" s="17">
        <f t="shared" si="17"/>
        <v>45688</v>
      </c>
      <c r="T197" s="1" t="str">
        <f t="shared" si="18"/>
        <v>Normal</v>
      </c>
      <c r="U197" s="20">
        <f t="shared" ca="1" si="19"/>
        <v>46287.029763888888</v>
      </c>
    </row>
    <row r="198" spans="1:21" ht="15.75" thickBot="1" x14ac:dyDescent="0.3">
      <c r="A198" s="4" t="s">
        <v>343</v>
      </c>
      <c r="B198" s="2">
        <v>45682</v>
      </c>
      <c r="C198" s="1" t="s">
        <v>68</v>
      </c>
      <c r="D198" s="1" t="s">
        <v>69</v>
      </c>
      <c r="E198" s="1" t="s">
        <v>31</v>
      </c>
      <c r="F198" s="1" t="s">
        <v>32</v>
      </c>
      <c r="G198" s="39" t="s">
        <v>33</v>
      </c>
      <c r="H198" s="3">
        <v>4</v>
      </c>
      <c r="I198" s="3">
        <v>59.99</v>
      </c>
      <c r="J198" s="1" t="s">
        <v>57</v>
      </c>
      <c r="K198" s="1" t="s">
        <v>63</v>
      </c>
      <c r="L198" s="1" t="s">
        <v>36</v>
      </c>
      <c r="M198" s="2">
        <v>44564</v>
      </c>
      <c r="N198" s="43">
        <v>239.96</v>
      </c>
      <c r="O198" s="1" t="str">
        <f>TEXT(Sales_Data[[#This Row],[Date]],"mmm-yyyy")</f>
        <v>Jan-2025</v>
      </c>
      <c r="P198" s="1">
        <f>YEAR(Sales_Data[[#This Row],[Date]])</f>
        <v>2025</v>
      </c>
      <c r="Q198" s="13">
        <f t="shared" ca="1" si="15"/>
        <v>1723</v>
      </c>
      <c r="R198" s="1">
        <f t="shared" ca="1" si="16"/>
        <v>4</v>
      </c>
      <c r="S198" s="17">
        <f t="shared" si="17"/>
        <v>45688</v>
      </c>
      <c r="T198" s="1" t="str">
        <f t="shared" si="18"/>
        <v>Normal</v>
      </c>
      <c r="U198" s="20">
        <f t="shared" ca="1" si="19"/>
        <v>46287.029763888888</v>
      </c>
    </row>
    <row r="199" spans="1:21" ht="15.75" thickBot="1" x14ac:dyDescent="0.3">
      <c r="A199" s="4" t="s">
        <v>344</v>
      </c>
      <c r="B199" s="2">
        <v>45683</v>
      </c>
      <c r="C199" s="1" t="s">
        <v>48</v>
      </c>
      <c r="D199" s="1" t="s">
        <v>49</v>
      </c>
      <c r="E199" s="1" t="s">
        <v>17</v>
      </c>
      <c r="F199" s="1" t="s">
        <v>18</v>
      </c>
      <c r="G199" s="39" t="s">
        <v>19</v>
      </c>
      <c r="H199" s="3">
        <v>4</v>
      </c>
      <c r="I199" s="3">
        <v>249.99</v>
      </c>
      <c r="J199" s="1" t="s">
        <v>57</v>
      </c>
      <c r="K199" s="1" t="s">
        <v>21</v>
      </c>
      <c r="L199" s="1" t="s">
        <v>27</v>
      </c>
      <c r="M199" s="2">
        <v>45217</v>
      </c>
      <c r="N199" s="43">
        <v>999.96</v>
      </c>
      <c r="O199" s="1" t="str">
        <f>TEXT(Sales_Data[[#This Row],[Date]],"mmm-yyyy")</f>
        <v>Jan-2025</v>
      </c>
      <c r="P199" s="1">
        <f>YEAR(Sales_Data[[#This Row],[Date]])</f>
        <v>2025</v>
      </c>
      <c r="Q199" s="13">
        <f t="shared" ca="1" si="15"/>
        <v>1070</v>
      </c>
      <c r="R199" s="1">
        <f t="shared" ca="1" si="16"/>
        <v>2</v>
      </c>
      <c r="S199" s="17">
        <f t="shared" si="17"/>
        <v>45688</v>
      </c>
      <c r="T199" s="1" t="str">
        <f t="shared" si="18"/>
        <v>Normal</v>
      </c>
      <c r="U199" s="20">
        <f t="shared" ca="1" si="19"/>
        <v>46287.029763888888</v>
      </c>
    </row>
    <row r="200" spans="1:21" ht="15.75" thickBot="1" x14ac:dyDescent="0.3">
      <c r="A200" s="4" t="s">
        <v>345</v>
      </c>
      <c r="B200" s="2">
        <v>45686</v>
      </c>
      <c r="C200" s="1" t="s">
        <v>252</v>
      </c>
      <c r="D200" s="1" t="s">
        <v>253</v>
      </c>
      <c r="E200" s="1" t="s">
        <v>61</v>
      </c>
      <c r="F200" s="1" t="s">
        <v>62</v>
      </c>
      <c r="G200" s="39" t="s">
        <v>19</v>
      </c>
      <c r="H200" s="3">
        <v>4</v>
      </c>
      <c r="I200" s="3">
        <v>899.99</v>
      </c>
      <c r="J200" s="1" t="s">
        <v>34</v>
      </c>
      <c r="K200" s="1" t="s">
        <v>21</v>
      </c>
      <c r="L200" s="1" t="s">
        <v>22</v>
      </c>
      <c r="M200" s="2">
        <v>44734</v>
      </c>
      <c r="N200" s="43">
        <v>3599.96</v>
      </c>
      <c r="O200" s="1" t="str">
        <f>TEXT(Sales_Data[[#This Row],[Date]],"mmm-yyyy")</f>
        <v>Jan-2025</v>
      </c>
      <c r="P200" s="1">
        <f>YEAR(Sales_Data[[#This Row],[Date]])</f>
        <v>2025</v>
      </c>
      <c r="Q200" s="13">
        <f t="shared" ca="1" si="15"/>
        <v>1553</v>
      </c>
      <c r="R200" s="1">
        <f t="shared" ca="1" si="16"/>
        <v>4</v>
      </c>
      <c r="S200" s="17">
        <f t="shared" si="17"/>
        <v>45688</v>
      </c>
      <c r="T200" s="1" t="str">
        <f t="shared" si="18"/>
        <v>High Value</v>
      </c>
      <c r="U200" s="20">
        <f t="shared" ca="1" si="19"/>
        <v>46287.029763888888</v>
      </c>
    </row>
    <row r="201" spans="1:21" ht="15.75" thickBot="1" x14ac:dyDescent="0.3">
      <c r="A201" s="4" t="s">
        <v>346</v>
      </c>
      <c r="B201" s="2">
        <v>45686</v>
      </c>
      <c r="C201" s="1" t="s">
        <v>86</v>
      </c>
      <c r="D201" s="1" t="s">
        <v>87</v>
      </c>
      <c r="E201" s="1" t="s">
        <v>105</v>
      </c>
      <c r="F201" s="1" t="s">
        <v>106</v>
      </c>
      <c r="G201" s="39" t="s">
        <v>46</v>
      </c>
      <c r="H201" s="3">
        <v>3</v>
      </c>
      <c r="I201" s="3">
        <v>299.99</v>
      </c>
      <c r="J201" s="1" t="s">
        <v>57</v>
      </c>
      <c r="K201" s="1" t="s">
        <v>50</v>
      </c>
      <c r="L201" s="1" t="s">
        <v>36</v>
      </c>
      <c r="M201" s="2">
        <v>44952</v>
      </c>
      <c r="N201" s="43">
        <v>899.97</v>
      </c>
      <c r="O201" s="1" t="str">
        <f>TEXT(Sales_Data[[#This Row],[Date]],"mmm-yyyy")</f>
        <v>Jan-2025</v>
      </c>
      <c r="P201" s="1">
        <f>YEAR(Sales_Data[[#This Row],[Date]])</f>
        <v>2025</v>
      </c>
      <c r="Q201" s="13">
        <f t="shared" ca="1" si="15"/>
        <v>1335</v>
      </c>
      <c r="R201" s="1">
        <f t="shared" ca="1" si="16"/>
        <v>3</v>
      </c>
      <c r="S201" s="17">
        <f t="shared" si="17"/>
        <v>45688</v>
      </c>
      <c r="T201" s="1" t="str">
        <f t="shared" si="18"/>
        <v>Normal</v>
      </c>
      <c r="U201" s="20">
        <f t="shared" ca="1" si="19"/>
        <v>46287.029763888888</v>
      </c>
    </row>
    <row r="202" spans="1:21" ht="15.75" thickBot="1" x14ac:dyDescent="0.3">
      <c r="A202" s="4" t="s">
        <v>347</v>
      </c>
      <c r="B202" s="2">
        <v>45686</v>
      </c>
      <c r="C202" s="1" t="s">
        <v>293</v>
      </c>
      <c r="D202" s="1" t="s">
        <v>294</v>
      </c>
      <c r="E202" s="1" t="s">
        <v>80</v>
      </c>
      <c r="F202" s="1" t="s">
        <v>81</v>
      </c>
      <c r="G202" s="39" t="s">
        <v>19</v>
      </c>
      <c r="H202" s="3">
        <v>2</v>
      </c>
      <c r="I202" s="3">
        <v>699.99</v>
      </c>
      <c r="J202" s="1" t="s">
        <v>57</v>
      </c>
      <c r="K202" s="1" t="s">
        <v>21</v>
      </c>
      <c r="L202" s="1" t="s">
        <v>27</v>
      </c>
      <c r="M202" s="2">
        <v>44681</v>
      </c>
      <c r="N202" s="43">
        <v>1399.98</v>
      </c>
      <c r="O202" s="1" t="str">
        <f>TEXT(Sales_Data[[#This Row],[Date]],"mmm-yyyy")</f>
        <v>Jan-2025</v>
      </c>
      <c r="P202" s="1">
        <f>YEAR(Sales_Data[[#This Row],[Date]])</f>
        <v>2025</v>
      </c>
      <c r="Q202" s="13">
        <f t="shared" ca="1" si="15"/>
        <v>1606</v>
      </c>
      <c r="R202" s="1">
        <f t="shared" ca="1" si="16"/>
        <v>4</v>
      </c>
      <c r="S202" s="17">
        <f t="shared" si="17"/>
        <v>45688</v>
      </c>
      <c r="T202" s="1" t="str">
        <f t="shared" si="18"/>
        <v>High Value</v>
      </c>
      <c r="U202" s="20">
        <f t="shared" ca="1" si="19"/>
        <v>46287.029763888888</v>
      </c>
    </row>
    <row r="203" spans="1:21" ht="15.75" thickBot="1" x14ac:dyDescent="0.3">
      <c r="A203" s="4" t="s">
        <v>348</v>
      </c>
      <c r="B203" s="2">
        <v>45688</v>
      </c>
      <c r="C203" s="1" t="s">
        <v>65</v>
      </c>
      <c r="D203" s="1" t="s">
        <v>66</v>
      </c>
      <c r="E203" s="1" t="s">
        <v>80</v>
      </c>
      <c r="F203" s="1" t="s">
        <v>81</v>
      </c>
      <c r="G203" s="39" t="s">
        <v>19</v>
      </c>
      <c r="H203" s="3">
        <v>4</v>
      </c>
      <c r="I203" s="3">
        <v>699.99</v>
      </c>
      <c r="J203" s="1" t="s">
        <v>57</v>
      </c>
      <c r="K203" s="1" t="s">
        <v>50</v>
      </c>
      <c r="L203" s="1" t="s">
        <v>27</v>
      </c>
      <c r="M203" s="2">
        <v>44692</v>
      </c>
      <c r="N203" s="43">
        <v>2799.96</v>
      </c>
      <c r="O203" s="1" t="str">
        <f>TEXT(Sales_Data[[#This Row],[Date]],"mmm-yyyy")</f>
        <v>Jan-2025</v>
      </c>
      <c r="P203" s="1">
        <f>YEAR(Sales_Data[[#This Row],[Date]])</f>
        <v>2025</v>
      </c>
      <c r="Q203" s="13">
        <f t="shared" ca="1" si="15"/>
        <v>1595</v>
      </c>
      <c r="R203" s="1">
        <f t="shared" ca="1" si="16"/>
        <v>4</v>
      </c>
      <c r="S203" s="17">
        <f t="shared" si="17"/>
        <v>45688</v>
      </c>
      <c r="T203" s="1" t="str">
        <f t="shared" si="18"/>
        <v>High Value</v>
      </c>
      <c r="U203" s="20">
        <f t="shared" ca="1" si="19"/>
        <v>46287.029763888888</v>
      </c>
    </row>
    <row r="204" spans="1:21" ht="15.75" thickBot="1" x14ac:dyDescent="0.3">
      <c r="A204" s="4" t="s">
        <v>349</v>
      </c>
      <c r="B204" s="2">
        <v>45688</v>
      </c>
      <c r="C204" s="1" t="s">
        <v>123</v>
      </c>
      <c r="D204" s="1" t="s">
        <v>124</v>
      </c>
      <c r="E204" s="1" t="s">
        <v>117</v>
      </c>
      <c r="F204" s="1" t="s">
        <v>118</v>
      </c>
      <c r="G204" s="39" t="s">
        <v>19</v>
      </c>
      <c r="H204" s="3">
        <v>2</v>
      </c>
      <c r="I204" s="3">
        <v>89.99</v>
      </c>
      <c r="J204" s="1" t="s">
        <v>57</v>
      </c>
      <c r="K204" s="1" t="s">
        <v>35</v>
      </c>
      <c r="L204" s="1" t="s">
        <v>22</v>
      </c>
      <c r="M204" s="2">
        <v>44777</v>
      </c>
      <c r="N204" s="43">
        <v>179.98</v>
      </c>
      <c r="O204" s="1" t="str">
        <f>TEXT(Sales_Data[[#This Row],[Date]],"mmm-yyyy")</f>
        <v>Jan-2025</v>
      </c>
      <c r="P204" s="1">
        <f>YEAR(Sales_Data[[#This Row],[Date]])</f>
        <v>2025</v>
      </c>
      <c r="Q204" s="13">
        <f t="shared" ca="1" si="15"/>
        <v>1510</v>
      </c>
      <c r="R204" s="1">
        <f t="shared" ca="1" si="16"/>
        <v>4</v>
      </c>
      <c r="S204" s="17">
        <f t="shared" si="17"/>
        <v>45688</v>
      </c>
      <c r="T204" s="1" t="str">
        <f t="shared" si="18"/>
        <v>Normal</v>
      </c>
      <c r="U204" s="20">
        <f t="shared" ca="1" si="19"/>
        <v>46287.029763888888</v>
      </c>
    </row>
    <row r="205" spans="1:21" ht="15.75" thickBot="1" x14ac:dyDescent="0.3">
      <c r="A205" s="4" t="s">
        <v>350</v>
      </c>
      <c r="B205" s="2">
        <v>45688</v>
      </c>
      <c r="C205" s="1" t="s">
        <v>42</v>
      </c>
      <c r="D205" s="1" t="s">
        <v>43</v>
      </c>
      <c r="E205" s="1" t="s">
        <v>117</v>
      </c>
      <c r="F205" s="1" t="s">
        <v>118</v>
      </c>
      <c r="G205" s="39" t="s">
        <v>19</v>
      </c>
      <c r="H205" s="3">
        <v>3</v>
      </c>
      <c r="I205" s="3">
        <v>89.99</v>
      </c>
      <c r="J205" s="1" t="s">
        <v>57</v>
      </c>
      <c r="K205" s="1" t="s">
        <v>35</v>
      </c>
      <c r="L205" s="1" t="s">
        <v>27</v>
      </c>
      <c r="M205" s="2">
        <v>45307</v>
      </c>
      <c r="N205" s="43">
        <v>269.97000000000003</v>
      </c>
      <c r="O205" s="1" t="str">
        <f>TEXT(Sales_Data[[#This Row],[Date]],"mmm-yyyy")</f>
        <v>Jan-2025</v>
      </c>
      <c r="P205" s="1">
        <f>YEAR(Sales_Data[[#This Row],[Date]])</f>
        <v>2025</v>
      </c>
      <c r="Q205" s="13">
        <f t="shared" ca="1" si="15"/>
        <v>980</v>
      </c>
      <c r="R205" s="1">
        <f t="shared" ca="1" si="16"/>
        <v>2</v>
      </c>
      <c r="S205" s="17">
        <f t="shared" si="17"/>
        <v>45688</v>
      </c>
      <c r="T205" s="1" t="str">
        <f t="shared" si="18"/>
        <v>Normal</v>
      </c>
      <c r="U205" s="20">
        <f t="shared" ca="1" si="19"/>
        <v>46287.029763888888</v>
      </c>
    </row>
    <row r="206" spans="1:21" ht="15.75" thickBot="1" x14ac:dyDescent="0.3">
      <c r="A206" s="4" t="s">
        <v>351</v>
      </c>
      <c r="B206" s="2">
        <v>45692</v>
      </c>
      <c r="C206" s="1" t="s">
        <v>325</v>
      </c>
      <c r="D206" s="1" t="s">
        <v>326</v>
      </c>
      <c r="E206" s="1" t="s">
        <v>31</v>
      </c>
      <c r="F206" s="1" t="s">
        <v>32</v>
      </c>
      <c r="G206" s="39" t="s">
        <v>33</v>
      </c>
      <c r="H206" s="3">
        <v>1</v>
      </c>
      <c r="I206" s="3">
        <v>59.99</v>
      </c>
      <c r="J206" s="1" t="s">
        <v>57</v>
      </c>
      <c r="K206" s="1" t="s">
        <v>21</v>
      </c>
      <c r="L206" s="1" t="s">
        <v>36</v>
      </c>
      <c r="M206" s="2">
        <v>45045</v>
      </c>
      <c r="N206" s="43">
        <v>59.99</v>
      </c>
      <c r="O206" s="1" t="str">
        <f>TEXT(Sales_Data[[#This Row],[Date]],"mmm-yyyy")</f>
        <v>Feb-2025</v>
      </c>
      <c r="P206" s="1">
        <f>YEAR(Sales_Data[[#This Row],[Date]])</f>
        <v>2025</v>
      </c>
      <c r="Q206" s="13">
        <f t="shared" ca="1" si="15"/>
        <v>1242</v>
      </c>
      <c r="R206" s="1">
        <f t="shared" ca="1" si="16"/>
        <v>3</v>
      </c>
      <c r="S206" s="17">
        <f t="shared" si="17"/>
        <v>45716</v>
      </c>
      <c r="T206" s="1" t="str">
        <f t="shared" si="18"/>
        <v>Normal</v>
      </c>
      <c r="U206" s="20">
        <f t="shared" ca="1" si="19"/>
        <v>46287.029763888888</v>
      </c>
    </row>
    <row r="207" spans="1:21" ht="15.75" thickBot="1" x14ac:dyDescent="0.3">
      <c r="A207" s="4" t="s">
        <v>352</v>
      </c>
      <c r="B207" s="2">
        <v>45695</v>
      </c>
      <c r="C207" s="1" t="s">
        <v>246</v>
      </c>
      <c r="D207" s="1" t="s">
        <v>247</v>
      </c>
      <c r="E207" s="1" t="s">
        <v>44</v>
      </c>
      <c r="F207" s="1" t="s">
        <v>45</v>
      </c>
      <c r="G207" s="39" t="s">
        <v>46</v>
      </c>
      <c r="H207" s="3">
        <v>3</v>
      </c>
      <c r="I207" s="3">
        <v>149.99</v>
      </c>
      <c r="J207" s="1" t="s">
        <v>57</v>
      </c>
      <c r="K207" s="1" t="s">
        <v>40</v>
      </c>
      <c r="L207" s="1" t="s">
        <v>27</v>
      </c>
      <c r="M207" s="2">
        <v>44564</v>
      </c>
      <c r="N207" s="43">
        <v>449.97</v>
      </c>
      <c r="O207" s="1" t="str">
        <f>TEXT(Sales_Data[[#This Row],[Date]],"mmm-yyyy")</f>
        <v>Feb-2025</v>
      </c>
      <c r="P207" s="1">
        <f>YEAR(Sales_Data[[#This Row],[Date]])</f>
        <v>2025</v>
      </c>
      <c r="Q207" s="13">
        <f t="shared" ca="1" si="15"/>
        <v>1723</v>
      </c>
      <c r="R207" s="1">
        <f t="shared" ca="1" si="16"/>
        <v>4</v>
      </c>
      <c r="S207" s="17">
        <f t="shared" si="17"/>
        <v>45716</v>
      </c>
      <c r="T207" s="1" t="str">
        <f t="shared" si="18"/>
        <v>Normal</v>
      </c>
      <c r="U207" s="20">
        <f t="shared" ca="1" si="19"/>
        <v>46287.029763888888</v>
      </c>
    </row>
    <row r="208" spans="1:21" ht="15.75" thickBot="1" x14ac:dyDescent="0.3">
      <c r="A208" s="4" t="s">
        <v>353</v>
      </c>
      <c r="B208" s="2">
        <v>45695</v>
      </c>
      <c r="C208" s="1" t="s">
        <v>93</v>
      </c>
      <c r="D208" s="1" t="s">
        <v>94</v>
      </c>
      <c r="E208" s="1" t="s">
        <v>105</v>
      </c>
      <c r="F208" s="1" t="s">
        <v>106</v>
      </c>
      <c r="G208" s="39" t="s">
        <v>46</v>
      </c>
      <c r="H208" s="3">
        <v>5</v>
      </c>
      <c r="I208" s="3">
        <v>299.99</v>
      </c>
      <c r="J208" s="1" t="s">
        <v>26</v>
      </c>
      <c r="K208" s="1" t="s">
        <v>35</v>
      </c>
      <c r="L208" s="1" t="s">
        <v>22</v>
      </c>
      <c r="M208" s="2">
        <v>44959</v>
      </c>
      <c r="N208" s="43">
        <v>1499.95</v>
      </c>
      <c r="O208" s="1" t="str">
        <f>TEXT(Sales_Data[[#This Row],[Date]],"mmm-yyyy")</f>
        <v>Feb-2025</v>
      </c>
      <c r="P208" s="1">
        <f>YEAR(Sales_Data[[#This Row],[Date]])</f>
        <v>2025</v>
      </c>
      <c r="Q208" s="13">
        <f t="shared" ca="1" si="15"/>
        <v>1328</v>
      </c>
      <c r="R208" s="1">
        <f t="shared" ca="1" si="16"/>
        <v>3</v>
      </c>
      <c r="S208" s="17">
        <f t="shared" si="17"/>
        <v>45716</v>
      </c>
      <c r="T208" s="1" t="str">
        <f t="shared" si="18"/>
        <v>High Value</v>
      </c>
      <c r="U208" s="20">
        <f t="shared" ca="1" si="19"/>
        <v>46287.029763888888</v>
      </c>
    </row>
    <row r="209" spans="1:21" ht="15.75" thickBot="1" x14ac:dyDescent="0.3">
      <c r="A209" s="4" t="s">
        <v>354</v>
      </c>
      <c r="B209" s="2">
        <v>45696</v>
      </c>
      <c r="C209" s="1" t="s">
        <v>150</v>
      </c>
      <c r="D209" s="1" t="s">
        <v>151</v>
      </c>
      <c r="E209" s="1" t="s">
        <v>31</v>
      </c>
      <c r="F209" s="1" t="s">
        <v>32</v>
      </c>
      <c r="G209" s="39" t="s">
        <v>33</v>
      </c>
      <c r="H209" s="3">
        <v>5</v>
      </c>
      <c r="I209" s="3">
        <v>59.99</v>
      </c>
      <c r="J209" s="1" t="s">
        <v>57</v>
      </c>
      <c r="K209" s="1" t="s">
        <v>21</v>
      </c>
      <c r="L209" s="1" t="s">
        <v>36</v>
      </c>
      <c r="M209" s="2">
        <v>45177</v>
      </c>
      <c r="N209" s="43">
        <v>299.95</v>
      </c>
      <c r="O209" s="1" t="str">
        <f>TEXT(Sales_Data[[#This Row],[Date]],"mmm-yyyy")</f>
        <v>Feb-2025</v>
      </c>
      <c r="P209" s="1">
        <f>YEAR(Sales_Data[[#This Row],[Date]])</f>
        <v>2025</v>
      </c>
      <c r="Q209" s="13">
        <f t="shared" ca="1" si="15"/>
        <v>1110</v>
      </c>
      <c r="R209" s="1">
        <f t="shared" ca="1" si="16"/>
        <v>3</v>
      </c>
      <c r="S209" s="17">
        <f t="shared" si="17"/>
        <v>45716</v>
      </c>
      <c r="T209" s="1" t="str">
        <f t="shared" si="18"/>
        <v>Normal</v>
      </c>
      <c r="U209" s="20">
        <f t="shared" ca="1" si="19"/>
        <v>46287.029763888888</v>
      </c>
    </row>
    <row r="210" spans="1:21" ht="15.75" thickBot="1" x14ac:dyDescent="0.3">
      <c r="A210" s="4" t="s">
        <v>355</v>
      </c>
      <c r="B210" s="2">
        <v>45701</v>
      </c>
      <c r="C210" s="1" t="s">
        <v>108</v>
      </c>
      <c r="D210" s="1" t="s">
        <v>109</v>
      </c>
      <c r="E210" s="1" t="s">
        <v>114</v>
      </c>
      <c r="F210" s="1" t="s">
        <v>115</v>
      </c>
      <c r="G210" s="39" t="s">
        <v>33</v>
      </c>
      <c r="H210" s="3">
        <v>3</v>
      </c>
      <c r="I210" s="3">
        <v>79.989999999999995</v>
      </c>
      <c r="J210" s="1" t="s">
        <v>20</v>
      </c>
      <c r="K210" s="1" t="s">
        <v>63</v>
      </c>
      <c r="L210" s="1" t="s">
        <v>27</v>
      </c>
      <c r="M210" s="2">
        <v>44436</v>
      </c>
      <c r="N210" s="43">
        <v>239.97</v>
      </c>
      <c r="O210" s="1" t="str">
        <f>TEXT(Sales_Data[[#This Row],[Date]],"mmm-yyyy")</f>
        <v>Feb-2025</v>
      </c>
      <c r="P210" s="1">
        <f>YEAR(Sales_Data[[#This Row],[Date]])</f>
        <v>2025</v>
      </c>
      <c r="Q210" s="13">
        <f t="shared" ca="1" si="15"/>
        <v>1851</v>
      </c>
      <c r="R210" s="1">
        <f t="shared" ca="1" si="16"/>
        <v>5</v>
      </c>
      <c r="S210" s="17">
        <f t="shared" si="17"/>
        <v>45716</v>
      </c>
      <c r="T210" s="1" t="str">
        <f t="shared" si="18"/>
        <v>Normal</v>
      </c>
      <c r="U210" s="20">
        <f t="shared" ca="1" si="19"/>
        <v>46287.029763888888</v>
      </c>
    </row>
    <row r="211" spans="1:21" ht="15.75" thickBot="1" x14ac:dyDescent="0.3">
      <c r="A211" s="4" t="s">
        <v>356</v>
      </c>
      <c r="B211" s="2">
        <v>45704</v>
      </c>
      <c r="C211" s="1" t="s">
        <v>29</v>
      </c>
      <c r="D211" s="1" t="s">
        <v>30</v>
      </c>
      <c r="E211" s="1" t="s">
        <v>126</v>
      </c>
      <c r="F211" s="1" t="s">
        <v>127</v>
      </c>
      <c r="G211" s="39" t="s">
        <v>46</v>
      </c>
      <c r="H211" s="3">
        <v>3</v>
      </c>
      <c r="I211" s="3">
        <v>199.99</v>
      </c>
      <c r="J211" s="1" t="s">
        <v>20</v>
      </c>
      <c r="K211" s="1" t="s">
        <v>21</v>
      </c>
      <c r="L211" s="1" t="s">
        <v>22</v>
      </c>
      <c r="M211" s="2">
        <v>44735</v>
      </c>
      <c r="N211" s="43">
        <v>599.97</v>
      </c>
      <c r="O211" s="1" t="str">
        <f>TEXT(Sales_Data[[#This Row],[Date]],"mmm-yyyy")</f>
        <v>Feb-2025</v>
      </c>
      <c r="P211" s="1">
        <f>YEAR(Sales_Data[[#This Row],[Date]])</f>
        <v>2025</v>
      </c>
      <c r="Q211" s="13">
        <f t="shared" ca="1" si="15"/>
        <v>1552</v>
      </c>
      <c r="R211" s="1">
        <f t="shared" ca="1" si="16"/>
        <v>4</v>
      </c>
      <c r="S211" s="17">
        <f t="shared" si="17"/>
        <v>45716</v>
      </c>
      <c r="T211" s="1" t="str">
        <f t="shared" si="18"/>
        <v>Normal</v>
      </c>
      <c r="U211" s="20">
        <f t="shared" ca="1" si="19"/>
        <v>46287.029763888888</v>
      </c>
    </row>
    <row r="212" spans="1:21" ht="15.75" thickBot="1" x14ac:dyDescent="0.3">
      <c r="A212" s="4" t="s">
        <v>357</v>
      </c>
      <c r="B212" s="2">
        <v>45704</v>
      </c>
      <c r="C212" s="1" t="s">
        <v>15</v>
      </c>
      <c r="D212" s="1" t="s">
        <v>16</v>
      </c>
      <c r="E212" s="1" t="s">
        <v>117</v>
      </c>
      <c r="F212" s="1" t="s">
        <v>118</v>
      </c>
      <c r="G212" s="39" t="s">
        <v>19</v>
      </c>
      <c r="H212" s="3">
        <v>2</v>
      </c>
      <c r="I212" s="3">
        <v>89.99</v>
      </c>
      <c r="J212" s="1" t="s">
        <v>34</v>
      </c>
      <c r="K212" s="1" t="s">
        <v>21</v>
      </c>
      <c r="L212" s="1" t="s">
        <v>22</v>
      </c>
      <c r="M212" s="2">
        <v>45257</v>
      </c>
      <c r="N212" s="43">
        <v>179.98</v>
      </c>
      <c r="O212" s="1" t="str">
        <f>TEXT(Sales_Data[[#This Row],[Date]],"mmm-yyyy")</f>
        <v>Feb-2025</v>
      </c>
      <c r="P212" s="1">
        <f>YEAR(Sales_Data[[#This Row],[Date]])</f>
        <v>2025</v>
      </c>
      <c r="Q212" s="13">
        <f t="shared" ca="1" si="15"/>
        <v>1030</v>
      </c>
      <c r="R212" s="1">
        <f t="shared" ca="1" si="16"/>
        <v>2</v>
      </c>
      <c r="S212" s="17">
        <f t="shared" si="17"/>
        <v>45716</v>
      </c>
      <c r="T212" s="1" t="str">
        <f t="shared" si="18"/>
        <v>Normal</v>
      </c>
      <c r="U212" s="20">
        <f t="shared" ca="1" si="19"/>
        <v>46287.029763888888</v>
      </c>
    </row>
    <row r="213" spans="1:21" ht="15.75" thickBot="1" x14ac:dyDescent="0.3">
      <c r="A213" s="4" t="s">
        <v>358</v>
      </c>
      <c r="B213" s="2">
        <v>45705</v>
      </c>
      <c r="C213" s="1" t="s">
        <v>259</v>
      </c>
      <c r="D213" s="1" t="s">
        <v>260</v>
      </c>
      <c r="E213" s="1" t="s">
        <v>44</v>
      </c>
      <c r="F213" s="1" t="s">
        <v>45</v>
      </c>
      <c r="G213" s="39" t="s">
        <v>46</v>
      </c>
      <c r="H213" s="3">
        <v>2</v>
      </c>
      <c r="I213" s="3">
        <v>149.99</v>
      </c>
      <c r="J213" s="1" t="s">
        <v>20</v>
      </c>
      <c r="K213" s="1" t="s">
        <v>35</v>
      </c>
      <c r="L213" s="1" t="s">
        <v>27</v>
      </c>
      <c r="M213" s="2">
        <v>44728</v>
      </c>
      <c r="N213" s="43">
        <v>299.98</v>
      </c>
      <c r="O213" s="1" t="str">
        <f>TEXT(Sales_Data[[#This Row],[Date]],"mmm-yyyy")</f>
        <v>Feb-2025</v>
      </c>
      <c r="P213" s="1">
        <f>YEAR(Sales_Data[[#This Row],[Date]])</f>
        <v>2025</v>
      </c>
      <c r="Q213" s="13">
        <f t="shared" ca="1" si="15"/>
        <v>1559</v>
      </c>
      <c r="R213" s="1">
        <f t="shared" ca="1" si="16"/>
        <v>4</v>
      </c>
      <c r="S213" s="17">
        <f t="shared" si="17"/>
        <v>45716</v>
      </c>
      <c r="T213" s="1" t="str">
        <f t="shared" si="18"/>
        <v>Normal</v>
      </c>
      <c r="U213" s="20">
        <f t="shared" ca="1" si="19"/>
        <v>46287.029763888888</v>
      </c>
    </row>
    <row r="214" spans="1:21" ht="15.75" thickBot="1" x14ac:dyDescent="0.3">
      <c r="A214" s="4" t="s">
        <v>359</v>
      </c>
      <c r="B214" s="2">
        <v>45707</v>
      </c>
      <c r="C214" s="1" t="s">
        <v>123</v>
      </c>
      <c r="D214" s="1" t="s">
        <v>124</v>
      </c>
      <c r="E214" s="1" t="s">
        <v>80</v>
      </c>
      <c r="F214" s="1" t="s">
        <v>81</v>
      </c>
      <c r="G214" s="39" t="s">
        <v>19</v>
      </c>
      <c r="H214" s="3">
        <v>5</v>
      </c>
      <c r="I214" s="3">
        <v>699.99</v>
      </c>
      <c r="J214" s="1" t="s">
        <v>34</v>
      </c>
      <c r="K214" s="1" t="s">
        <v>35</v>
      </c>
      <c r="L214" s="1" t="s">
        <v>27</v>
      </c>
      <c r="M214" s="2">
        <v>45352</v>
      </c>
      <c r="N214" s="43">
        <v>3499.95</v>
      </c>
      <c r="O214" s="1" t="str">
        <f>TEXT(Sales_Data[[#This Row],[Date]],"mmm-yyyy")</f>
        <v>Feb-2025</v>
      </c>
      <c r="P214" s="1">
        <f>YEAR(Sales_Data[[#This Row],[Date]])</f>
        <v>2025</v>
      </c>
      <c r="Q214" s="13">
        <f t="shared" ca="1" si="15"/>
        <v>935</v>
      </c>
      <c r="R214" s="1">
        <f t="shared" ca="1" si="16"/>
        <v>2</v>
      </c>
      <c r="S214" s="17">
        <f t="shared" si="17"/>
        <v>45716</v>
      </c>
      <c r="T214" s="1" t="str">
        <f t="shared" si="18"/>
        <v>High Value</v>
      </c>
      <c r="U214" s="20">
        <f t="shared" ca="1" si="19"/>
        <v>46287.029763888888</v>
      </c>
    </row>
    <row r="215" spans="1:21" ht="15.75" thickBot="1" x14ac:dyDescent="0.3">
      <c r="A215" s="4" t="s">
        <v>360</v>
      </c>
      <c r="B215" s="2">
        <v>45707</v>
      </c>
      <c r="C215" s="1" t="s">
        <v>42</v>
      </c>
      <c r="D215" s="1" t="s">
        <v>43</v>
      </c>
      <c r="E215" s="1" t="s">
        <v>44</v>
      </c>
      <c r="F215" s="1" t="s">
        <v>45</v>
      </c>
      <c r="G215" s="39" t="s">
        <v>46</v>
      </c>
      <c r="H215" s="3">
        <v>3</v>
      </c>
      <c r="I215" s="3">
        <v>149.99</v>
      </c>
      <c r="J215" s="1" t="s">
        <v>34</v>
      </c>
      <c r="K215" s="1" t="s">
        <v>21</v>
      </c>
      <c r="L215" s="1" t="s">
        <v>36</v>
      </c>
      <c r="M215" s="2">
        <v>44633</v>
      </c>
      <c r="N215" s="43">
        <v>449.97</v>
      </c>
      <c r="O215" s="1" t="str">
        <f>TEXT(Sales_Data[[#This Row],[Date]],"mmm-yyyy")</f>
        <v>Feb-2025</v>
      </c>
      <c r="P215" s="1">
        <f>YEAR(Sales_Data[[#This Row],[Date]])</f>
        <v>2025</v>
      </c>
      <c r="Q215" s="13">
        <f t="shared" ca="1" si="15"/>
        <v>1654</v>
      </c>
      <c r="R215" s="1">
        <f t="shared" ca="1" si="16"/>
        <v>4</v>
      </c>
      <c r="S215" s="17">
        <f t="shared" si="17"/>
        <v>45716</v>
      </c>
      <c r="T215" s="1" t="str">
        <f t="shared" si="18"/>
        <v>Normal</v>
      </c>
      <c r="U215" s="20">
        <f t="shared" ca="1" si="19"/>
        <v>46287.029763888888</v>
      </c>
    </row>
    <row r="216" spans="1:21" ht="15.75" thickBot="1" x14ac:dyDescent="0.3">
      <c r="A216" s="4" t="s">
        <v>361</v>
      </c>
      <c r="B216" s="2">
        <v>45708</v>
      </c>
      <c r="C216" s="1" t="s">
        <v>96</v>
      </c>
      <c r="D216" s="1" t="s">
        <v>97</v>
      </c>
      <c r="E216" s="1" t="s">
        <v>61</v>
      </c>
      <c r="F216" s="1" t="s">
        <v>62</v>
      </c>
      <c r="G216" s="39" t="s">
        <v>19</v>
      </c>
      <c r="H216" s="3">
        <v>3</v>
      </c>
      <c r="I216" s="3">
        <v>899.99</v>
      </c>
      <c r="J216" s="1" t="s">
        <v>20</v>
      </c>
      <c r="K216" s="1" t="s">
        <v>63</v>
      </c>
      <c r="L216" s="1" t="s">
        <v>36</v>
      </c>
      <c r="M216" s="2">
        <v>44613</v>
      </c>
      <c r="N216" s="43">
        <v>2699.97</v>
      </c>
      <c r="O216" s="1" t="str">
        <f>TEXT(Sales_Data[[#This Row],[Date]],"mmm-yyyy")</f>
        <v>Feb-2025</v>
      </c>
      <c r="P216" s="1">
        <f>YEAR(Sales_Data[[#This Row],[Date]])</f>
        <v>2025</v>
      </c>
      <c r="Q216" s="13">
        <f t="shared" ca="1" si="15"/>
        <v>1674</v>
      </c>
      <c r="R216" s="1">
        <f t="shared" ca="1" si="16"/>
        <v>4</v>
      </c>
      <c r="S216" s="17">
        <f t="shared" si="17"/>
        <v>45716</v>
      </c>
      <c r="T216" s="1" t="str">
        <f t="shared" si="18"/>
        <v>High Value</v>
      </c>
      <c r="U216" s="20">
        <f t="shared" ca="1" si="19"/>
        <v>46287.029763888888</v>
      </c>
    </row>
    <row r="217" spans="1:21" ht="15.75" thickBot="1" x14ac:dyDescent="0.3">
      <c r="A217" s="4" t="s">
        <v>362</v>
      </c>
      <c r="B217" s="2">
        <v>45708</v>
      </c>
      <c r="C217" s="1" t="s">
        <v>192</v>
      </c>
      <c r="D217" s="1" t="s">
        <v>193</v>
      </c>
      <c r="E217" s="1" t="s">
        <v>126</v>
      </c>
      <c r="F217" s="1" t="s">
        <v>127</v>
      </c>
      <c r="G217" s="39" t="s">
        <v>46</v>
      </c>
      <c r="H217" s="3">
        <v>3</v>
      </c>
      <c r="I217" s="3">
        <v>199.99</v>
      </c>
      <c r="J217" s="1" t="s">
        <v>20</v>
      </c>
      <c r="K217" s="1" t="s">
        <v>50</v>
      </c>
      <c r="L217" s="1" t="s">
        <v>27</v>
      </c>
      <c r="M217" s="2">
        <v>44823</v>
      </c>
      <c r="N217" s="43">
        <v>599.97</v>
      </c>
      <c r="O217" s="1" t="str">
        <f>TEXT(Sales_Data[[#This Row],[Date]],"mmm-yyyy")</f>
        <v>Feb-2025</v>
      </c>
      <c r="P217" s="1">
        <f>YEAR(Sales_Data[[#This Row],[Date]])</f>
        <v>2025</v>
      </c>
      <c r="Q217" s="13">
        <f t="shared" ca="1" si="15"/>
        <v>1464</v>
      </c>
      <c r="R217" s="1">
        <f t="shared" ca="1" si="16"/>
        <v>4</v>
      </c>
      <c r="S217" s="17">
        <f t="shared" si="17"/>
        <v>45716</v>
      </c>
      <c r="T217" s="1" t="str">
        <f t="shared" si="18"/>
        <v>Normal</v>
      </c>
      <c r="U217" s="20">
        <f t="shared" ca="1" si="19"/>
        <v>46287.029763888888</v>
      </c>
    </row>
    <row r="218" spans="1:21" ht="15.75" thickBot="1" x14ac:dyDescent="0.3">
      <c r="A218" s="4" t="s">
        <v>363</v>
      </c>
      <c r="B218" s="2">
        <v>45710</v>
      </c>
      <c r="C218" s="1" t="s">
        <v>55</v>
      </c>
      <c r="D218" s="1" t="s">
        <v>56</v>
      </c>
      <c r="E218" s="1" t="s">
        <v>105</v>
      </c>
      <c r="F218" s="1" t="s">
        <v>106</v>
      </c>
      <c r="G218" s="39" t="s">
        <v>46</v>
      </c>
      <c r="H218" s="3">
        <v>5</v>
      </c>
      <c r="I218" s="3">
        <v>299.99</v>
      </c>
      <c r="J218" s="1" t="s">
        <v>20</v>
      </c>
      <c r="K218" s="1" t="s">
        <v>50</v>
      </c>
      <c r="L218" s="1" t="s">
        <v>36</v>
      </c>
      <c r="M218" s="2">
        <v>45142</v>
      </c>
      <c r="N218" s="43">
        <v>1499.95</v>
      </c>
      <c r="O218" s="1" t="str">
        <f>TEXT(Sales_Data[[#This Row],[Date]],"mmm-yyyy")</f>
        <v>Feb-2025</v>
      </c>
      <c r="P218" s="1">
        <f>YEAR(Sales_Data[[#This Row],[Date]])</f>
        <v>2025</v>
      </c>
      <c r="Q218" s="13">
        <f t="shared" ca="1" si="15"/>
        <v>1145</v>
      </c>
      <c r="R218" s="1">
        <f t="shared" ca="1" si="16"/>
        <v>3</v>
      </c>
      <c r="S218" s="17">
        <f t="shared" si="17"/>
        <v>45716</v>
      </c>
      <c r="T218" s="1" t="str">
        <f t="shared" si="18"/>
        <v>High Value</v>
      </c>
      <c r="U218" s="20">
        <f t="shared" ca="1" si="19"/>
        <v>46287.029763888888</v>
      </c>
    </row>
    <row r="219" spans="1:21" ht="15.75" thickBot="1" x14ac:dyDescent="0.3">
      <c r="A219" s="4" t="s">
        <v>364</v>
      </c>
      <c r="B219" s="2">
        <v>45710</v>
      </c>
      <c r="C219" s="1" t="s">
        <v>150</v>
      </c>
      <c r="D219" s="1" t="s">
        <v>151</v>
      </c>
      <c r="E219" s="1" t="s">
        <v>80</v>
      </c>
      <c r="F219" s="1" t="s">
        <v>81</v>
      </c>
      <c r="G219" s="39" t="s">
        <v>19</v>
      </c>
      <c r="H219" s="3">
        <v>1</v>
      </c>
      <c r="I219" s="3">
        <v>699.99</v>
      </c>
      <c r="J219" s="1" t="s">
        <v>34</v>
      </c>
      <c r="K219" s="1" t="s">
        <v>50</v>
      </c>
      <c r="L219" s="1" t="s">
        <v>22</v>
      </c>
      <c r="M219" s="2">
        <v>44934</v>
      </c>
      <c r="N219" s="43">
        <v>699.99</v>
      </c>
      <c r="O219" s="1" t="str">
        <f>TEXT(Sales_Data[[#This Row],[Date]],"mmm-yyyy")</f>
        <v>Feb-2025</v>
      </c>
      <c r="P219" s="1">
        <f>YEAR(Sales_Data[[#This Row],[Date]])</f>
        <v>2025</v>
      </c>
      <c r="Q219" s="13">
        <f t="shared" ca="1" si="15"/>
        <v>1353</v>
      </c>
      <c r="R219" s="1">
        <f t="shared" ca="1" si="16"/>
        <v>3</v>
      </c>
      <c r="S219" s="17">
        <f t="shared" si="17"/>
        <v>45716</v>
      </c>
      <c r="T219" s="1" t="str">
        <f t="shared" si="18"/>
        <v>Normal</v>
      </c>
      <c r="U219" s="20">
        <f t="shared" ca="1" si="19"/>
        <v>46287.029763888888</v>
      </c>
    </row>
    <row r="220" spans="1:21" ht="15.75" thickBot="1" x14ac:dyDescent="0.3">
      <c r="A220" s="4" t="s">
        <v>365</v>
      </c>
      <c r="B220" s="2">
        <v>45711</v>
      </c>
      <c r="C220" s="1" t="s">
        <v>246</v>
      </c>
      <c r="D220" s="1" t="s">
        <v>247</v>
      </c>
      <c r="E220" s="1" t="s">
        <v>80</v>
      </c>
      <c r="F220" s="1" t="s">
        <v>81</v>
      </c>
      <c r="G220" s="39" t="s">
        <v>19</v>
      </c>
      <c r="H220" s="3">
        <v>1</v>
      </c>
      <c r="I220" s="3">
        <v>699.99</v>
      </c>
      <c r="J220" s="1" t="s">
        <v>20</v>
      </c>
      <c r="K220" s="1" t="s">
        <v>40</v>
      </c>
      <c r="L220" s="1" t="s">
        <v>27</v>
      </c>
      <c r="M220" s="2">
        <v>44583</v>
      </c>
      <c r="N220" s="43">
        <v>699.99</v>
      </c>
      <c r="O220" s="1" t="str">
        <f>TEXT(Sales_Data[[#This Row],[Date]],"mmm-yyyy")</f>
        <v>Feb-2025</v>
      </c>
      <c r="P220" s="1">
        <f>YEAR(Sales_Data[[#This Row],[Date]])</f>
        <v>2025</v>
      </c>
      <c r="Q220" s="13">
        <f t="shared" ca="1" si="15"/>
        <v>1704</v>
      </c>
      <c r="R220" s="1">
        <f t="shared" ca="1" si="16"/>
        <v>4</v>
      </c>
      <c r="S220" s="17">
        <f t="shared" si="17"/>
        <v>45716</v>
      </c>
      <c r="T220" s="1" t="str">
        <f t="shared" si="18"/>
        <v>Normal</v>
      </c>
      <c r="U220" s="20">
        <f t="shared" ca="1" si="19"/>
        <v>46287.029763888888</v>
      </c>
    </row>
    <row r="221" spans="1:21" ht="15.75" thickBot="1" x14ac:dyDescent="0.3">
      <c r="A221" s="4" t="s">
        <v>366</v>
      </c>
      <c r="B221" s="2">
        <v>45711</v>
      </c>
      <c r="C221" s="1" t="s">
        <v>325</v>
      </c>
      <c r="D221" s="1" t="s">
        <v>326</v>
      </c>
      <c r="E221" s="1" t="s">
        <v>44</v>
      </c>
      <c r="F221" s="1" t="s">
        <v>45</v>
      </c>
      <c r="G221" s="39" t="s">
        <v>46</v>
      </c>
      <c r="H221" s="3">
        <v>4</v>
      </c>
      <c r="I221" s="3">
        <v>149.99</v>
      </c>
      <c r="J221" s="1" t="s">
        <v>34</v>
      </c>
      <c r="K221" s="1" t="s">
        <v>40</v>
      </c>
      <c r="L221" s="1" t="s">
        <v>27</v>
      </c>
      <c r="M221" s="2">
        <v>44412</v>
      </c>
      <c r="N221" s="43">
        <v>599.96</v>
      </c>
      <c r="O221" s="1" t="str">
        <f>TEXT(Sales_Data[[#This Row],[Date]],"mmm-yyyy")</f>
        <v>Feb-2025</v>
      </c>
      <c r="P221" s="1">
        <f>YEAR(Sales_Data[[#This Row],[Date]])</f>
        <v>2025</v>
      </c>
      <c r="Q221" s="13">
        <f t="shared" ca="1" si="15"/>
        <v>1875</v>
      </c>
      <c r="R221" s="1">
        <f t="shared" ca="1" si="16"/>
        <v>5</v>
      </c>
      <c r="S221" s="17">
        <f t="shared" si="17"/>
        <v>45716</v>
      </c>
      <c r="T221" s="1" t="str">
        <f t="shared" si="18"/>
        <v>Normal</v>
      </c>
      <c r="U221" s="20">
        <f t="shared" ca="1" si="19"/>
        <v>46287.029763888888</v>
      </c>
    </row>
    <row r="222" spans="1:21" ht="15.75" thickBot="1" x14ac:dyDescent="0.3">
      <c r="A222" s="4" t="s">
        <v>367</v>
      </c>
      <c r="B222" s="2">
        <v>45711</v>
      </c>
      <c r="C222" s="1" t="s">
        <v>211</v>
      </c>
      <c r="D222" s="1" t="s">
        <v>212</v>
      </c>
      <c r="E222" s="1" t="s">
        <v>117</v>
      </c>
      <c r="F222" s="1" t="s">
        <v>118</v>
      </c>
      <c r="G222" s="39" t="s">
        <v>19</v>
      </c>
      <c r="H222" s="3">
        <v>5</v>
      </c>
      <c r="I222" s="3">
        <v>89.99</v>
      </c>
      <c r="J222" s="1" t="s">
        <v>34</v>
      </c>
      <c r="K222" s="1" t="s">
        <v>50</v>
      </c>
      <c r="L222" s="1" t="s">
        <v>27</v>
      </c>
      <c r="M222" s="2">
        <v>45140</v>
      </c>
      <c r="N222" s="43">
        <v>449.95</v>
      </c>
      <c r="O222" s="1" t="str">
        <f>TEXT(Sales_Data[[#This Row],[Date]],"mmm-yyyy")</f>
        <v>Feb-2025</v>
      </c>
      <c r="P222" s="1">
        <f>YEAR(Sales_Data[[#This Row],[Date]])</f>
        <v>2025</v>
      </c>
      <c r="Q222" s="13">
        <f t="shared" ca="1" si="15"/>
        <v>1147</v>
      </c>
      <c r="R222" s="1">
        <f t="shared" ca="1" si="16"/>
        <v>3</v>
      </c>
      <c r="S222" s="17">
        <f t="shared" si="17"/>
        <v>45716</v>
      </c>
      <c r="T222" s="1" t="str">
        <f t="shared" si="18"/>
        <v>Normal</v>
      </c>
      <c r="U222" s="20">
        <f t="shared" ca="1" si="19"/>
        <v>46287.029763888888</v>
      </c>
    </row>
    <row r="223" spans="1:21" ht="15.75" thickBot="1" x14ac:dyDescent="0.3">
      <c r="A223" s="4" t="s">
        <v>368</v>
      </c>
      <c r="B223" s="2">
        <v>45712</v>
      </c>
      <c r="C223" s="1" t="s">
        <v>138</v>
      </c>
      <c r="D223" s="1" t="s">
        <v>139</v>
      </c>
      <c r="E223" s="1" t="s">
        <v>126</v>
      </c>
      <c r="F223" s="1" t="s">
        <v>127</v>
      </c>
      <c r="G223" s="39" t="s">
        <v>46</v>
      </c>
      <c r="H223" s="3">
        <v>2</v>
      </c>
      <c r="I223" s="3">
        <v>199.99</v>
      </c>
      <c r="J223" s="1" t="s">
        <v>20</v>
      </c>
      <c r="K223" s="1" t="s">
        <v>21</v>
      </c>
      <c r="L223" s="1" t="s">
        <v>27</v>
      </c>
      <c r="M223" s="2">
        <v>44573</v>
      </c>
      <c r="N223" s="43">
        <v>399.98</v>
      </c>
      <c r="O223" s="1" t="str">
        <f>TEXT(Sales_Data[[#This Row],[Date]],"mmm-yyyy")</f>
        <v>Feb-2025</v>
      </c>
      <c r="P223" s="1">
        <f>YEAR(Sales_Data[[#This Row],[Date]])</f>
        <v>2025</v>
      </c>
      <c r="Q223" s="13">
        <f t="shared" ca="1" si="15"/>
        <v>1714</v>
      </c>
      <c r="R223" s="1">
        <f t="shared" ca="1" si="16"/>
        <v>4</v>
      </c>
      <c r="S223" s="17">
        <f t="shared" si="17"/>
        <v>45716</v>
      </c>
      <c r="T223" s="1" t="str">
        <f t="shared" si="18"/>
        <v>Normal</v>
      </c>
      <c r="U223" s="20">
        <f t="shared" ca="1" si="19"/>
        <v>46287.029763888888</v>
      </c>
    </row>
    <row r="224" spans="1:21" ht="15.75" thickBot="1" x14ac:dyDescent="0.3">
      <c r="A224" s="4" t="s">
        <v>369</v>
      </c>
      <c r="B224" s="2">
        <v>45715</v>
      </c>
      <c r="C224" s="1" t="s">
        <v>259</v>
      </c>
      <c r="D224" s="1" t="s">
        <v>260</v>
      </c>
      <c r="E224" s="1" t="s">
        <v>31</v>
      </c>
      <c r="F224" s="1" t="s">
        <v>32</v>
      </c>
      <c r="G224" s="39" t="s">
        <v>33</v>
      </c>
      <c r="H224" s="3">
        <v>4</v>
      </c>
      <c r="I224" s="3">
        <v>59.99</v>
      </c>
      <c r="J224" s="1" t="s">
        <v>20</v>
      </c>
      <c r="K224" s="1" t="s">
        <v>50</v>
      </c>
      <c r="L224" s="1" t="s">
        <v>36</v>
      </c>
      <c r="M224" s="2">
        <v>45070</v>
      </c>
      <c r="N224" s="43">
        <v>239.96</v>
      </c>
      <c r="O224" s="1" t="str">
        <f>TEXT(Sales_Data[[#This Row],[Date]],"mmm-yyyy")</f>
        <v>Feb-2025</v>
      </c>
      <c r="P224" s="1">
        <f>YEAR(Sales_Data[[#This Row],[Date]])</f>
        <v>2025</v>
      </c>
      <c r="Q224" s="13">
        <f t="shared" ca="1" si="15"/>
        <v>1217</v>
      </c>
      <c r="R224" s="1">
        <f t="shared" ca="1" si="16"/>
        <v>3</v>
      </c>
      <c r="S224" s="17">
        <f t="shared" si="17"/>
        <v>45716</v>
      </c>
      <c r="T224" s="1" t="str">
        <f t="shared" si="18"/>
        <v>Normal</v>
      </c>
      <c r="U224" s="20">
        <f t="shared" ca="1" si="19"/>
        <v>46287.029763888888</v>
      </c>
    </row>
    <row r="225" spans="1:21" ht="15.75" thickBot="1" x14ac:dyDescent="0.3">
      <c r="A225" s="4" t="s">
        <v>370</v>
      </c>
      <c r="B225" s="2">
        <v>45715</v>
      </c>
      <c r="C225" s="1" t="s">
        <v>93</v>
      </c>
      <c r="D225" s="1" t="s">
        <v>94</v>
      </c>
      <c r="E225" s="1" t="s">
        <v>105</v>
      </c>
      <c r="F225" s="1" t="s">
        <v>106</v>
      </c>
      <c r="G225" s="39" t="s">
        <v>46</v>
      </c>
      <c r="H225" s="3">
        <v>2</v>
      </c>
      <c r="I225" s="3">
        <v>299.99</v>
      </c>
      <c r="J225" s="1" t="s">
        <v>34</v>
      </c>
      <c r="K225" s="1" t="s">
        <v>35</v>
      </c>
      <c r="L225" s="1" t="s">
        <v>22</v>
      </c>
      <c r="M225" s="2">
        <v>44576</v>
      </c>
      <c r="N225" s="43">
        <v>599.98</v>
      </c>
      <c r="O225" s="1" t="str">
        <f>TEXT(Sales_Data[[#This Row],[Date]],"mmm-yyyy")</f>
        <v>Feb-2025</v>
      </c>
      <c r="P225" s="1">
        <f>YEAR(Sales_Data[[#This Row],[Date]])</f>
        <v>2025</v>
      </c>
      <c r="Q225" s="13">
        <f t="shared" ca="1" si="15"/>
        <v>1711</v>
      </c>
      <c r="R225" s="1">
        <f t="shared" ca="1" si="16"/>
        <v>4</v>
      </c>
      <c r="S225" s="17">
        <f t="shared" si="17"/>
        <v>45716</v>
      </c>
      <c r="T225" s="1" t="str">
        <f t="shared" si="18"/>
        <v>Normal</v>
      </c>
      <c r="U225" s="20">
        <f t="shared" ca="1" si="19"/>
        <v>46287.029763888888</v>
      </c>
    </row>
    <row r="226" spans="1:21" ht="15.75" thickBot="1" x14ac:dyDescent="0.3">
      <c r="A226" s="4" t="s">
        <v>371</v>
      </c>
      <c r="B226" s="2">
        <v>45718</v>
      </c>
      <c r="C226" s="1" t="s">
        <v>55</v>
      </c>
      <c r="D226" s="1" t="s">
        <v>56</v>
      </c>
      <c r="E226" s="1" t="s">
        <v>44</v>
      </c>
      <c r="F226" s="1" t="s">
        <v>45</v>
      </c>
      <c r="G226" s="39" t="s">
        <v>46</v>
      </c>
      <c r="H226" s="3">
        <v>2</v>
      </c>
      <c r="I226" s="3">
        <v>149.99</v>
      </c>
      <c r="J226" s="1" t="s">
        <v>20</v>
      </c>
      <c r="K226" s="1" t="s">
        <v>21</v>
      </c>
      <c r="L226" s="1" t="s">
        <v>22</v>
      </c>
      <c r="M226" s="2">
        <v>45068</v>
      </c>
      <c r="N226" s="43">
        <v>299.98</v>
      </c>
      <c r="O226" s="1" t="str">
        <f>TEXT(Sales_Data[[#This Row],[Date]],"mmm-yyyy")</f>
        <v>Mar-2025</v>
      </c>
      <c r="P226" s="1">
        <f>YEAR(Sales_Data[[#This Row],[Date]])</f>
        <v>2025</v>
      </c>
      <c r="Q226" s="13">
        <f t="shared" ca="1" si="15"/>
        <v>1219</v>
      </c>
      <c r="R226" s="1">
        <f t="shared" ca="1" si="16"/>
        <v>3</v>
      </c>
      <c r="S226" s="17">
        <f t="shared" si="17"/>
        <v>45747</v>
      </c>
      <c r="T226" s="1" t="str">
        <f t="shared" si="18"/>
        <v>Normal</v>
      </c>
      <c r="U226" s="20">
        <f t="shared" ca="1" si="19"/>
        <v>46287.029763888888</v>
      </c>
    </row>
    <row r="227" spans="1:21" ht="15.75" thickBot="1" x14ac:dyDescent="0.3">
      <c r="A227" s="4" t="s">
        <v>372</v>
      </c>
      <c r="B227" s="2">
        <v>45720</v>
      </c>
      <c r="C227" s="1" t="s">
        <v>226</v>
      </c>
      <c r="D227" s="1" t="s">
        <v>227</v>
      </c>
      <c r="E227" s="1" t="s">
        <v>80</v>
      </c>
      <c r="F227" s="1" t="s">
        <v>81</v>
      </c>
      <c r="G227" s="39" t="s">
        <v>19</v>
      </c>
      <c r="H227" s="3">
        <v>5</v>
      </c>
      <c r="I227" s="3">
        <v>699.99</v>
      </c>
      <c r="J227" s="1" t="s">
        <v>57</v>
      </c>
      <c r="K227" s="1" t="s">
        <v>63</v>
      </c>
      <c r="L227" s="1" t="s">
        <v>27</v>
      </c>
      <c r="M227" s="2">
        <v>45161</v>
      </c>
      <c r="N227" s="43">
        <v>3499.95</v>
      </c>
      <c r="O227" s="1" t="str">
        <f>TEXT(Sales_Data[[#This Row],[Date]],"mmm-yyyy")</f>
        <v>Mar-2025</v>
      </c>
      <c r="P227" s="1">
        <f>YEAR(Sales_Data[[#This Row],[Date]])</f>
        <v>2025</v>
      </c>
      <c r="Q227" s="13">
        <f t="shared" ca="1" si="15"/>
        <v>1126</v>
      </c>
      <c r="R227" s="1">
        <f t="shared" ca="1" si="16"/>
        <v>3</v>
      </c>
      <c r="S227" s="17">
        <f t="shared" si="17"/>
        <v>45747</v>
      </c>
      <c r="T227" s="1" t="str">
        <f t="shared" si="18"/>
        <v>High Value</v>
      </c>
      <c r="U227" s="20">
        <f t="shared" ca="1" si="19"/>
        <v>46287.029763888888</v>
      </c>
    </row>
    <row r="228" spans="1:21" ht="15.75" thickBot="1" x14ac:dyDescent="0.3">
      <c r="A228" s="4" t="s">
        <v>373</v>
      </c>
      <c r="B228" s="2">
        <v>45721</v>
      </c>
      <c r="C228" s="1" t="s">
        <v>75</v>
      </c>
      <c r="D228" s="1" t="s">
        <v>76</v>
      </c>
      <c r="E228" s="1" t="s">
        <v>31</v>
      </c>
      <c r="F228" s="1" t="s">
        <v>32</v>
      </c>
      <c r="G228" s="39" t="s">
        <v>33</v>
      </c>
      <c r="H228" s="3">
        <v>5</v>
      </c>
      <c r="I228" s="3">
        <v>59.99</v>
      </c>
      <c r="J228" s="1" t="s">
        <v>20</v>
      </c>
      <c r="K228" s="1" t="s">
        <v>50</v>
      </c>
      <c r="L228" s="1" t="s">
        <v>27</v>
      </c>
      <c r="M228" s="2">
        <v>45291</v>
      </c>
      <c r="N228" s="43">
        <v>299.95</v>
      </c>
      <c r="O228" s="1" t="str">
        <f>TEXT(Sales_Data[[#This Row],[Date]],"mmm-yyyy")</f>
        <v>Mar-2025</v>
      </c>
      <c r="P228" s="1">
        <f>YEAR(Sales_Data[[#This Row],[Date]])</f>
        <v>2025</v>
      </c>
      <c r="Q228" s="13">
        <f t="shared" ca="1" si="15"/>
        <v>996</v>
      </c>
      <c r="R228" s="1">
        <f t="shared" ca="1" si="16"/>
        <v>2</v>
      </c>
      <c r="S228" s="17">
        <f t="shared" si="17"/>
        <v>45747</v>
      </c>
      <c r="T228" s="1" t="str">
        <f t="shared" si="18"/>
        <v>Normal</v>
      </c>
      <c r="U228" s="20">
        <f t="shared" ca="1" si="19"/>
        <v>46287.029763888888</v>
      </c>
    </row>
    <row r="229" spans="1:21" ht="15.75" thickBot="1" x14ac:dyDescent="0.3">
      <c r="A229" s="4" t="s">
        <v>374</v>
      </c>
      <c r="B229" s="2">
        <v>45723</v>
      </c>
      <c r="C229" s="1" t="s">
        <v>15</v>
      </c>
      <c r="D229" s="1" t="s">
        <v>16</v>
      </c>
      <c r="E229" s="1" t="s">
        <v>117</v>
      </c>
      <c r="F229" s="1" t="s">
        <v>118</v>
      </c>
      <c r="G229" s="39" t="s">
        <v>19</v>
      </c>
      <c r="H229" s="3">
        <v>2</v>
      </c>
      <c r="I229" s="3">
        <v>89.99</v>
      </c>
      <c r="J229" s="1" t="s">
        <v>26</v>
      </c>
      <c r="K229" s="1" t="s">
        <v>50</v>
      </c>
      <c r="L229" s="1" t="s">
        <v>27</v>
      </c>
      <c r="M229" s="2">
        <v>45295</v>
      </c>
      <c r="N229" s="43">
        <v>179.98</v>
      </c>
      <c r="O229" s="1" t="str">
        <f>TEXT(Sales_Data[[#This Row],[Date]],"mmm-yyyy")</f>
        <v>Mar-2025</v>
      </c>
      <c r="P229" s="1">
        <f>YEAR(Sales_Data[[#This Row],[Date]])</f>
        <v>2025</v>
      </c>
      <c r="Q229" s="13">
        <f t="shared" ca="1" si="15"/>
        <v>992</v>
      </c>
      <c r="R229" s="1">
        <f t="shared" ca="1" si="16"/>
        <v>2</v>
      </c>
      <c r="S229" s="17">
        <f t="shared" si="17"/>
        <v>45747</v>
      </c>
      <c r="T229" s="1" t="str">
        <f t="shared" si="18"/>
        <v>Normal</v>
      </c>
      <c r="U229" s="20">
        <f t="shared" ca="1" si="19"/>
        <v>46287.029763888888</v>
      </c>
    </row>
    <row r="230" spans="1:21" ht="15.75" thickBot="1" x14ac:dyDescent="0.3">
      <c r="A230" s="4" t="s">
        <v>375</v>
      </c>
      <c r="B230" s="2">
        <v>45723</v>
      </c>
      <c r="C230" s="1" t="s">
        <v>120</v>
      </c>
      <c r="D230" s="1" t="s">
        <v>121</v>
      </c>
      <c r="E230" s="1" t="s">
        <v>17</v>
      </c>
      <c r="F230" s="1" t="s">
        <v>18</v>
      </c>
      <c r="G230" s="39" t="s">
        <v>19</v>
      </c>
      <c r="H230" s="3">
        <v>5</v>
      </c>
      <c r="I230" s="3">
        <v>249.99</v>
      </c>
      <c r="J230" s="1" t="s">
        <v>20</v>
      </c>
      <c r="K230" s="1" t="s">
        <v>63</v>
      </c>
      <c r="L230" s="1" t="s">
        <v>36</v>
      </c>
      <c r="M230" s="2">
        <v>44540</v>
      </c>
      <c r="N230" s="43">
        <v>1249.95</v>
      </c>
      <c r="O230" s="1" t="str">
        <f>TEXT(Sales_Data[[#This Row],[Date]],"mmm-yyyy")</f>
        <v>Mar-2025</v>
      </c>
      <c r="P230" s="1">
        <f>YEAR(Sales_Data[[#This Row],[Date]])</f>
        <v>2025</v>
      </c>
      <c r="Q230" s="13">
        <f t="shared" ca="1" si="15"/>
        <v>1747</v>
      </c>
      <c r="R230" s="1">
        <f t="shared" ca="1" si="16"/>
        <v>4</v>
      </c>
      <c r="S230" s="17">
        <f t="shared" si="17"/>
        <v>45747</v>
      </c>
      <c r="T230" s="1" t="str">
        <f t="shared" si="18"/>
        <v>High Value</v>
      </c>
      <c r="U230" s="20">
        <f t="shared" ca="1" si="19"/>
        <v>46287.029763888888</v>
      </c>
    </row>
    <row r="231" spans="1:21" ht="15.75" thickBot="1" x14ac:dyDescent="0.3">
      <c r="A231" s="4" t="s">
        <v>376</v>
      </c>
      <c r="B231" s="2">
        <v>45724</v>
      </c>
      <c r="C231" s="1" t="s">
        <v>226</v>
      </c>
      <c r="D231" s="1" t="s">
        <v>227</v>
      </c>
      <c r="E231" s="1" t="s">
        <v>44</v>
      </c>
      <c r="F231" s="1" t="s">
        <v>45</v>
      </c>
      <c r="G231" s="39" t="s">
        <v>46</v>
      </c>
      <c r="H231" s="3">
        <v>2</v>
      </c>
      <c r="I231" s="3">
        <v>149.99</v>
      </c>
      <c r="J231" s="1" t="s">
        <v>34</v>
      </c>
      <c r="K231" s="1" t="s">
        <v>21</v>
      </c>
      <c r="L231" s="1" t="s">
        <v>27</v>
      </c>
      <c r="M231" s="2">
        <v>44632</v>
      </c>
      <c r="N231" s="43">
        <v>299.98</v>
      </c>
      <c r="O231" s="1" t="str">
        <f>TEXT(Sales_Data[[#This Row],[Date]],"mmm-yyyy")</f>
        <v>Mar-2025</v>
      </c>
      <c r="P231" s="1">
        <f>YEAR(Sales_Data[[#This Row],[Date]])</f>
        <v>2025</v>
      </c>
      <c r="Q231" s="13">
        <f t="shared" ca="1" si="15"/>
        <v>1655</v>
      </c>
      <c r="R231" s="1">
        <f t="shared" ca="1" si="16"/>
        <v>4</v>
      </c>
      <c r="S231" s="17">
        <f t="shared" si="17"/>
        <v>45747</v>
      </c>
      <c r="T231" s="1" t="str">
        <f t="shared" si="18"/>
        <v>Normal</v>
      </c>
      <c r="U231" s="20">
        <f t="shared" ca="1" si="19"/>
        <v>46287.029763888888</v>
      </c>
    </row>
    <row r="232" spans="1:21" ht="15.75" thickBot="1" x14ac:dyDescent="0.3">
      <c r="A232" s="4" t="s">
        <v>377</v>
      </c>
      <c r="B232" s="2">
        <v>45724</v>
      </c>
      <c r="C232" s="1" t="s">
        <v>144</v>
      </c>
      <c r="D232" s="1" t="s">
        <v>145</v>
      </c>
      <c r="E232" s="1" t="s">
        <v>61</v>
      </c>
      <c r="F232" s="1" t="s">
        <v>62</v>
      </c>
      <c r="G232" s="39" t="s">
        <v>19</v>
      </c>
      <c r="H232" s="3">
        <v>5</v>
      </c>
      <c r="I232" s="3">
        <v>899.99</v>
      </c>
      <c r="J232" s="1" t="s">
        <v>34</v>
      </c>
      <c r="K232" s="1" t="s">
        <v>63</v>
      </c>
      <c r="L232" s="1" t="s">
        <v>27</v>
      </c>
      <c r="M232" s="2">
        <v>45389</v>
      </c>
      <c r="N232" s="43">
        <v>4499.95</v>
      </c>
      <c r="O232" s="1" t="str">
        <f>TEXT(Sales_Data[[#This Row],[Date]],"mmm-yyyy")</f>
        <v>Mar-2025</v>
      </c>
      <c r="P232" s="1">
        <f>YEAR(Sales_Data[[#This Row],[Date]])</f>
        <v>2025</v>
      </c>
      <c r="Q232" s="13">
        <f t="shared" ca="1" si="15"/>
        <v>898</v>
      </c>
      <c r="R232" s="1">
        <f t="shared" ca="1" si="16"/>
        <v>2</v>
      </c>
      <c r="S232" s="17">
        <f t="shared" si="17"/>
        <v>45747</v>
      </c>
      <c r="T232" s="1" t="str">
        <f t="shared" si="18"/>
        <v>High Value</v>
      </c>
      <c r="U232" s="20">
        <f t="shared" ca="1" si="19"/>
        <v>46287.029763888888</v>
      </c>
    </row>
    <row r="233" spans="1:21" ht="15.75" thickBot="1" x14ac:dyDescent="0.3">
      <c r="A233" s="4" t="s">
        <v>378</v>
      </c>
      <c r="B233" s="2">
        <v>45724</v>
      </c>
      <c r="C233" s="1" t="s">
        <v>55</v>
      </c>
      <c r="D233" s="1" t="s">
        <v>56</v>
      </c>
      <c r="E233" s="1" t="s">
        <v>44</v>
      </c>
      <c r="F233" s="1" t="s">
        <v>45</v>
      </c>
      <c r="G233" s="39" t="s">
        <v>46</v>
      </c>
      <c r="H233" s="3">
        <v>4</v>
      </c>
      <c r="I233" s="3">
        <v>149.99</v>
      </c>
      <c r="J233" s="1" t="s">
        <v>20</v>
      </c>
      <c r="K233" s="1" t="s">
        <v>21</v>
      </c>
      <c r="L233" s="1" t="s">
        <v>36</v>
      </c>
      <c r="M233" s="2">
        <v>45263</v>
      </c>
      <c r="N233" s="43">
        <v>599.96</v>
      </c>
      <c r="O233" s="1" t="str">
        <f>TEXT(Sales_Data[[#This Row],[Date]],"mmm-yyyy")</f>
        <v>Mar-2025</v>
      </c>
      <c r="P233" s="1">
        <f>YEAR(Sales_Data[[#This Row],[Date]])</f>
        <v>2025</v>
      </c>
      <c r="Q233" s="13">
        <f t="shared" ca="1" si="15"/>
        <v>1024</v>
      </c>
      <c r="R233" s="1">
        <f t="shared" ca="1" si="16"/>
        <v>2</v>
      </c>
      <c r="S233" s="17">
        <f t="shared" si="17"/>
        <v>45747</v>
      </c>
      <c r="T233" s="1" t="str">
        <f t="shared" si="18"/>
        <v>Normal</v>
      </c>
      <c r="U233" s="20">
        <f t="shared" ca="1" si="19"/>
        <v>46287.029763888888</v>
      </c>
    </row>
    <row r="234" spans="1:21" ht="15.75" thickBot="1" x14ac:dyDescent="0.3">
      <c r="A234" s="4" t="s">
        <v>379</v>
      </c>
      <c r="B234" s="2">
        <v>45726</v>
      </c>
      <c r="C234" s="1" t="s">
        <v>144</v>
      </c>
      <c r="D234" s="1" t="s">
        <v>145</v>
      </c>
      <c r="E234" s="1" t="s">
        <v>17</v>
      </c>
      <c r="F234" s="1" t="s">
        <v>18</v>
      </c>
      <c r="G234" s="39" t="s">
        <v>19</v>
      </c>
      <c r="H234" s="3">
        <v>1</v>
      </c>
      <c r="I234" s="3">
        <v>249.99</v>
      </c>
      <c r="J234" s="1" t="s">
        <v>20</v>
      </c>
      <c r="K234" s="1" t="s">
        <v>40</v>
      </c>
      <c r="L234" s="1" t="s">
        <v>36</v>
      </c>
      <c r="M234" s="2">
        <v>45117</v>
      </c>
      <c r="N234" s="43">
        <v>249.99</v>
      </c>
      <c r="O234" s="1" t="str">
        <f>TEXT(Sales_Data[[#This Row],[Date]],"mmm-yyyy")</f>
        <v>Mar-2025</v>
      </c>
      <c r="P234" s="1">
        <f>YEAR(Sales_Data[[#This Row],[Date]])</f>
        <v>2025</v>
      </c>
      <c r="Q234" s="13">
        <f t="shared" ca="1" si="15"/>
        <v>1170</v>
      </c>
      <c r="R234" s="1">
        <f t="shared" ca="1" si="16"/>
        <v>3</v>
      </c>
      <c r="S234" s="17">
        <f t="shared" si="17"/>
        <v>45747</v>
      </c>
      <c r="T234" s="1" t="str">
        <f t="shared" si="18"/>
        <v>Normal</v>
      </c>
      <c r="U234" s="20">
        <f t="shared" ca="1" si="19"/>
        <v>46287.029763888888</v>
      </c>
    </row>
    <row r="235" spans="1:21" ht="15.75" thickBot="1" x14ac:dyDescent="0.3">
      <c r="A235" s="4" t="s">
        <v>380</v>
      </c>
      <c r="B235" s="2">
        <v>45734</v>
      </c>
      <c r="C235" s="1" t="s">
        <v>192</v>
      </c>
      <c r="D235" s="1" t="s">
        <v>193</v>
      </c>
      <c r="E235" s="1" t="s">
        <v>31</v>
      </c>
      <c r="F235" s="1" t="s">
        <v>32</v>
      </c>
      <c r="G235" s="39" t="s">
        <v>33</v>
      </c>
      <c r="H235" s="3">
        <v>2</v>
      </c>
      <c r="I235" s="3">
        <v>59.99</v>
      </c>
      <c r="J235" s="1" t="s">
        <v>26</v>
      </c>
      <c r="K235" s="1" t="s">
        <v>50</v>
      </c>
      <c r="L235" s="1" t="s">
        <v>22</v>
      </c>
      <c r="M235" s="2">
        <v>45193</v>
      </c>
      <c r="N235" s="43">
        <v>119.98</v>
      </c>
      <c r="O235" s="1" t="str">
        <f>TEXT(Sales_Data[[#This Row],[Date]],"mmm-yyyy")</f>
        <v>Mar-2025</v>
      </c>
      <c r="P235" s="1">
        <f>YEAR(Sales_Data[[#This Row],[Date]])</f>
        <v>2025</v>
      </c>
      <c r="Q235" s="13">
        <f t="shared" ca="1" si="15"/>
        <v>1094</v>
      </c>
      <c r="R235" s="1">
        <f t="shared" ca="1" si="16"/>
        <v>2</v>
      </c>
      <c r="S235" s="17">
        <f t="shared" si="17"/>
        <v>45747</v>
      </c>
      <c r="T235" s="1" t="str">
        <f t="shared" si="18"/>
        <v>Normal</v>
      </c>
      <c r="U235" s="20">
        <f t="shared" ca="1" si="19"/>
        <v>46287.029763888888</v>
      </c>
    </row>
    <row r="236" spans="1:21" ht="15.75" thickBot="1" x14ac:dyDescent="0.3">
      <c r="A236" s="4" t="s">
        <v>381</v>
      </c>
      <c r="B236" s="2">
        <v>45737</v>
      </c>
      <c r="C236" s="1" t="s">
        <v>132</v>
      </c>
      <c r="D236" s="1" t="s">
        <v>133</v>
      </c>
      <c r="E236" s="1" t="s">
        <v>44</v>
      </c>
      <c r="F236" s="1" t="s">
        <v>45</v>
      </c>
      <c r="G236" s="39" t="s">
        <v>46</v>
      </c>
      <c r="H236" s="3">
        <v>2</v>
      </c>
      <c r="I236" s="3">
        <v>149.99</v>
      </c>
      <c r="J236" s="1" t="s">
        <v>20</v>
      </c>
      <c r="K236" s="1" t="s">
        <v>50</v>
      </c>
      <c r="L236" s="1" t="s">
        <v>27</v>
      </c>
      <c r="M236" s="2">
        <v>45233</v>
      </c>
      <c r="N236" s="43">
        <v>299.98</v>
      </c>
      <c r="O236" s="1" t="str">
        <f>TEXT(Sales_Data[[#This Row],[Date]],"mmm-yyyy")</f>
        <v>Mar-2025</v>
      </c>
      <c r="P236" s="1">
        <f>YEAR(Sales_Data[[#This Row],[Date]])</f>
        <v>2025</v>
      </c>
      <c r="Q236" s="13">
        <f t="shared" ca="1" si="15"/>
        <v>1054</v>
      </c>
      <c r="R236" s="1">
        <f t="shared" ca="1" si="16"/>
        <v>2</v>
      </c>
      <c r="S236" s="17">
        <f t="shared" si="17"/>
        <v>45747</v>
      </c>
      <c r="T236" s="1" t="str">
        <f t="shared" si="18"/>
        <v>Normal</v>
      </c>
      <c r="U236" s="20">
        <f t="shared" ca="1" si="19"/>
        <v>46287.029763888888</v>
      </c>
    </row>
    <row r="237" spans="1:21" ht="15.75" thickBot="1" x14ac:dyDescent="0.3">
      <c r="A237" s="4" t="s">
        <v>382</v>
      </c>
      <c r="B237" s="2">
        <v>45737</v>
      </c>
      <c r="C237" s="1" t="s">
        <v>150</v>
      </c>
      <c r="D237" s="1" t="s">
        <v>151</v>
      </c>
      <c r="E237" s="1" t="s">
        <v>61</v>
      </c>
      <c r="F237" s="1" t="s">
        <v>62</v>
      </c>
      <c r="G237" s="39" t="s">
        <v>19</v>
      </c>
      <c r="H237" s="3">
        <v>3</v>
      </c>
      <c r="I237" s="3">
        <v>899.99</v>
      </c>
      <c r="J237" s="1" t="s">
        <v>57</v>
      </c>
      <c r="K237" s="1" t="s">
        <v>40</v>
      </c>
      <c r="L237" s="1" t="s">
        <v>27</v>
      </c>
      <c r="M237" s="2">
        <v>44876</v>
      </c>
      <c r="N237" s="43">
        <v>2699.97</v>
      </c>
      <c r="O237" s="1" t="str">
        <f>TEXT(Sales_Data[[#This Row],[Date]],"mmm-yyyy")</f>
        <v>Mar-2025</v>
      </c>
      <c r="P237" s="1">
        <f>YEAR(Sales_Data[[#This Row],[Date]])</f>
        <v>2025</v>
      </c>
      <c r="Q237" s="13">
        <f t="shared" ca="1" si="15"/>
        <v>1411</v>
      </c>
      <c r="R237" s="1">
        <f t="shared" ca="1" si="16"/>
        <v>3</v>
      </c>
      <c r="S237" s="17">
        <f t="shared" si="17"/>
        <v>45747</v>
      </c>
      <c r="T237" s="1" t="str">
        <f t="shared" si="18"/>
        <v>High Value</v>
      </c>
      <c r="U237" s="20">
        <f t="shared" ca="1" si="19"/>
        <v>46287.029763888888</v>
      </c>
    </row>
    <row r="238" spans="1:21" ht="15.75" thickBot="1" x14ac:dyDescent="0.3">
      <c r="A238" s="4" t="s">
        <v>383</v>
      </c>
      <c r="B238" s="2">
        <v>45737</v>
      </c>
      <c r="C238" s="1" t="s">
        <v>48</v>
      </c>
      <c r="D238" s="1" t="s">
        <v>49</v>
      </c>
      <c r="E238" s="1" t="s">
        <v>61</v>
      </c>
      <c r="F238" s="1" t="s">
        <v>62</v>
      </c>
      <c r="G238" s="39" t="s">
        <v>19</v>
      </c>
      <c r="H238" s="3">
        <v>3</v>
      </c>
      <c r="I238" s="3">
        <v>899.99</v>
      </c>
      <c r="J238" s="1" t="s">
        <v>34</v>
      </c>
      <c r="K238" s="1" t="s">
        <v>40</v>
      </c>
      <c r="L238" s="1" t="s">
        <v>22</v>
      </c>
      <c r="M238" s="2">
        <v>44975</v>
      </c>
      <c r="N238" s="43">
        <v>2699.97</v>
      </c>
      <c r="O238" s="1" t="str">
        <f>TEXT(Sales_Data[[#This Row],[Date]],"mmm-yyyy")</f>
        <v>Mar-2025</v>
      </c>
      <c r="P238" s="1">
        <f>YEAR(Sales_Data[[#This Row],[Date]])</f>
        <v>2025</v>
      </c>
      <c r="Q238" s="13">
        <f t="shared" ca="1" si="15"/>
        <v>1312</v>
      </c>
      <c r="R238" s="1">
        <f t="shared" ca="1" si="16"/>
        <v>3</v>
      </c>
      <c r="S238" s="17">
        <f t="shared" si="17"/>
        <v>45747</v>
      </c>
      <c r="T238" s="1" t="str">
        <f t="shared" si="18"/>
        <v>High Value</v>
      </c>
      <c r="U238" s="20">
        <f t="shared" ca="1" si="19"/>
        <v>46287.029763888888</v>
      </c>
    </row>
    <row r="239" spans="1:21" ht="15.75" thickBot="1" x14ac:dyDescent="0.3">
      <c r="A239" s="4" t="s">
        <v>384</v>
      </c>
      <c r="B239" s="2">
        <v>45739</v>
      </c>
      <c r="C239" s="1" t="s">
        <v>15</v>
      </c>
      <c r="D239" s="1" t="s">
        <v>16</v>
      </c>
      <c r="E239" s="1" t="s">
        <v>105</v>
      </c>
      <c r="F239" s="1" t="s">
        <v>106</v>
      </c>
      <c r="G239" s="39" t="s">
        <v>46</v>
      </c>
      <c r="H239" s="3">
        <v>3</v>
      </c>
      <c r="I239" s="3">
        <v>299.99</v>
      </c>
      <c r="J239" s="1" t="s">
        <v>26</v>
      </c>
      <c r="K239" s="1" t="s">
        <v>50</v>
      </c>
      <c r="L239" s="1" t="s">
        <v>27</v>
      </c>
      <c r="M239" s="2">
        <v>45234</v>
      </c>
      <c r="N239" s="43">
        <v>899.97</v>
      </c>
      <c r="O239" s="1" t="str">
        <f>TEXT(Sales_Data[[#This Row],[Date]],"mmm-yyyy")</f>
        <v>Mar-2025</v>
      </c>
      <c r="P239" s="1">
        <f>YEAR(Sales_Data[[#This Row],[Date]])</f>
        <v>2025</v>
      </c>
      <c r="Q239" s="13">
        <f t="shared" ca="1" si="15"/>
        <v>1053</v>
      </c>
      <c r="R239" s="1">
        <f t="shared" ca="1" si="16"/>
        <v>2</v>
      </c>
      <c r="S239" s="17">
        <f t="shared" si="17"/>
        <v>45747</v>
      </c>
      <c r="T239" s="1" t="str">
        <f t="shared" si="18"/>
        <v>Normal</v>
      </c>
      <c r="U239" s="20">
        <f t="shared" ca="1" si="19"/>
        <v>46287.029763888888</v>
      </c>
    </row>
    <row r="240" spans="1:21" ht="15.75" thickBot="1" x14ac:dyDescent="0.3">
      <c r="A240" s="4" t="s">
        <v>385</v>
      </c>
      <c r="B240" s="2">
        <v>45740</v>
      </c>
      <c r="C240" s="1" t="s">
        <v>386</v>
      </c>
      <c r="D240" s="1" t="s">
        <v>387</v>
      </c>
      <c r="E240" s="1" t="s">
        <v>44</v>
      </c>
      <c r="F240" s="1" t="s">
        <v>45</v>
      </c>
      <c r="G240" s="39" t="s">
        <v>46</v>
      </c>
      <c r="H240" s="3">
        <v>4</v>
      </c>
      <c r="I240" s="3">
        <v>149.99</v>
      </c>
      <c r="J240" s="1" t="s">
        <v>34</v>
      </c>
      <c r="K240" s="1" t="s">
        <v>50</v>
      </c>
      <c r="L240" s="1" t="s">
        <v>36</v>
      </c>
      <c r="M240" s="2">
        <v>44560</v>
      </c>
      <c r="N240" s="43">
        <v>599.96</v>
      </c>
      <c r="O240" s="1" t="str">
        <f>TEXT(Sales_Data[[#This Row],[Date]],"mmm-yyyy")</f>
        <v>Mar-2025</v>
      </c>
      <c r="P240" s="1">
        <f>YEAR(Sales_Data[[#This Row],[Date]])</f>
        <v>2025</v>
      </c>
      <c r="Q240" s="13">
        <f t="shared" ca="1" si="15"/>
        <v>1727</v>
      </c>
      <c r="R240" s="1">
        <f t="shared" ca="1" si="16"/>
        <v>4</v>
      </c>
      <c r="S240" s="17">
        <f t="shared" si="17"/>
        <v>45747</v>
      </c>
      <c r="T240" s="1" t="str">
        <f t="shared" si="18"/>
        <v>Normal</v>
      </c>
      <c r="U240" s="20">
        <f t="shared" ca="1" si="19"/>
        <v>46287.029763888888</v>
      </c>
    </row>
    <row r="241" spans="1:21" ht="15.75" thickBot="1" x14ac:dyDescent="0.3">
      <c r="A241" s="4" t="s">
        <v>388</v>
      </c>
      <c r="B241" s="2">
        <v>45743</v>
      </c>
      <c r="C241" s="1" t="s">
        <v>102</v>
      </c>
      <c r="D241" s="1" t="s">
        <v>103</v>
      </c>
      <c r="E241" s="1" t="s">
        <v>114</v>
      </c>
      <c r="F241" s="1" t="s">
        <v>115</v>
      </c>
      <c r="G241" s="39" t="s">
        <v>33</v>
      </c>
      <c r="H241" s="3">
        <v>4</v>
      </c>
      <c r="I241" s="3">
        <v>79.989999999999995</v>
      </c>
      <c r="J241" s="1" t="s">
        <v>26</v>
      </c>
      <c r="K241" s="1" t="s">
        <v>21</v>
      </c>
      <c r="L241" s="1" t="s">
        <v>22</v>
      </c>
      <c r="M241" s="2">
        <v>45288</v>
      </c>
      <c r="N241" s="43">
        <v>319.95999999999998</v>
      </c>
      <c r="O241" s="1" t="str">
        <f>TEXT(Sales_Data[[#This Row],[Date]],"mmm-yyyy")</f>
        <v>Mar-2025</v>
      </c>
      <c r="P241" s="1">
        <f>YEAR(Sales_Data[[#This Row],[Date]])</f>
        <v>2025</v>
      </c>
      <c r="Q241" s="13">
        <f t="shared" ca="1" si="15"/>
        <v>999</v>
      </c>
      <c r="R241" s="1">
        <f t="shared" ca="1" si="16"/>
        <v>2</v>
      </c>
      <c r="S241" s="17">
        <f t="shared" si="17"/>
        <v>45747</v>
      </c>
      <c r="T241" s="1" t="str">
        <f t="shared" si="18"/>
        <v>Normal</v>
      </c>
      <c r="U241" s="20">
        <f t="shared" ca="1" si="19"/>
        <v>46287.029763888888</v>
      </c>
    </row>
    <row r="242" spans="1:21" ht="15.75" thickBot="1" x14ac:dyDescent="0.3">
      <c r="A242" s="4" t="s">
        <v>389</v>
      </c>
      <c r="B242" s="2">
        <v>45745</v>
      </c>
      <c r="C242" s="1" t="s">
        <v>185</v>
      </c>
      <c r="D242" s="1" t="s">
        <v>186</v>
      </c>
      <c r="E242" s="1" t="s">
        <v>117</v>
      </c>
      <c r="F242" s="1" t="s">
        <v>118</v>
      </c>
      <c r="G242" s="39" t="s">
        <v>19</v>
      </c>
      <c r="H242" s="3">
        <v>5</v>
      </c>
      <c r="I242" s="3">
        <v>89.99</v>
      </c>
      <c r="J242" s="1" t="s">
        <v>34</v>
      </c>
      <c r="K242" s="1" t="s">
        <v>35</v>
      </c>
      <c r="L242" s="1" t="s">
        <v>22</v>
      </c>
      <c r="M242" s="2">
        <v>44704</v>
      </c>
      <c r="N242" s="43">
        <v>449.95</v>
      </c>
      <c r="O242" s="1" t="str">
        <f>TEXT(Sales_Data[[#This Row],[Date]],"mmm-yyyy")</f>
        <v>Mar-2025</v>
      </c>
      <c r="P242" s="1">
        <f>YEAR(Sales_Data[[#This Row],[Date]])</f>
        <v>2025</v>
      </c>
      <c r="Q242" s="13">
        <f t="shared" ca="1" si="15"/>
        <v>1583</v>
      </c>
      <c r="R242" s="1">
        <f t="shared" ca="1" si="16"/>
        <v>4</v>
      </c>
      <c r="S242" s="17">
        <f t="shared" si="17"/>
        <v>45747</v>
      </c>
      <c r="T242" s="1" t="str">
        <f t="shared" si="18"/>
        <v>Normal</v>
      </c>
      <c r="U242" s="20">
        <f t="shared" ca="1" si="19"/>
        <v>46287.029763888888</v>
      </c>
    </row>
    <row r="243" spans="1:21" ht="15.75" thickBot="1" x14ac:dyDescent="0.3">
      <c r="A243" s="4" t="s">
        <v>390</v>
      </c>
      <c r="B243" s="2">
        <v>45746</v>
      </c>
      <c r="C243" s="1" t="s">
        <v>93</v>
      </c>
      <c r="D243" s="1" t="s">
        <v>94</v>
      </c>
      <c r="E243" s="1" t="s">
        <v>44</v>
      </c>
      <c r="F243" s="1" t="s">
        <v>45</v>
      </c>
      <c r="G243" s="39" t="s">
        <v>46</v>
      </c>
      <c r="H243" s="3">
        <v>3</v>
      </c>
      <c r="I243" s="3">
        <v>149.99</v>
      </c>
      <c r="J243" s="1" t="s">
        <v>34</v>
      </c>
      <c r="K243" s="1" t="s">
        <v>21</v>
      </c>
      <c r="L243" s="1" t="s">
        <v>36</v>
      </c>
      <c r="M243" s="2">
        <v>45171</v>
      </c>
      <c r="N243" s="43">
        <v>449.97</v>
      </c>
      <c r="O243" s="1" t="str">
        <f>TEXT(Sales_Data[[#This Row],[Date]],"mmm-yyyy")</f>
        <v>Mar-2025</v>
      </c>
      <c r="P243" s="1">
        <f>YEAR(Sales_Data[[#This Row],[Date]])</f>
        <v>2025</v>
      </c>
      <c r="Q243" s="13">
        <f t="shared" ca="1" si="15"/>
        <v>1116</v>
      </c>
      <c r="R243" s="1">
        <f t="shared" ca="1" si="16"/>
        <v>3</v>
      </c>
      <c r="S243" s="17">
        <f t="shared" si="17"/>
        <v>45747</v>
      </c>
      <c r="T243" s="1" t="str">
        <f t="shared" si="18"/>
        <v>Normal</v>
      </c>
      <c r="U243" s="20">
        <f t="shared" ca="1" si="19"/>
        <v>46287.029763888888</v>
      </c>
    </row>
    <row r="244" spans="1:21" ht="15.75" thickBot="1" x14ac:dyDescent="0.3">
      <c r="A244" s="4" t="s">
        <v>391</v>
      </c>
      <c r="B244" s="2">
        <v>45746</v>
      </c>
      <c r="C244" s="1" t="s">
        <v>65</v>
      </c>
      <c r="D244" s="1" t="s">
        <v>66</v>
      </c>
      <c r="E244" s="1" t="s">
        <v>117</v>
      </c>
      <c r="F244" s="1" t="s">
        <v>118</v>
      </c>
      <c r="G244" s="39" t="s">
        <v>19</v>
      </c>
      <c r="H244" s="3">
        <v>2</v>
      </c>
      <c r="I244" s="3">
        <v>89.99</v>
      </c>
      <c r="J244" s="1" t="s">
        <v>57</v>
      </c>
      <c r="K244" s="1" t="s">
        <v>50</v>
      </c>
      <c r="L244" s="1" t="s">
        <v>27</v>
      </c>
      <c r="M244" s="2">
        <v>44522</v>
      </c>
      <c r="N244" s="43">
        <v>179.98</v>
      </c>
      <c r="O244" s="1" t="str">
        <f>TEXT(Sales_Data[[#This Row],[Date]],"mmm-yyyy")</f>
        <v>Mar-2025</v>
      </c>
      <c r="P244" s="1">
        <f>YEAR(Sales_Data[[#This Row],[Date]])</f>
        <v>2025</v>
      </c>
      <c r="Q244" s="13">
        <f t="shared" ca="1" si="15"/>
        <v>1765</v>
      </c>
      <c r="R244" s="1">
        <f t="shared" ca="1" si="16"/>
        <v>4</v>
      </c>
      <c r="S244" s="17">
        <f t="shared" si="17"/>
        <v>45747</v>
      </c>
      <c r="T244" s="1" t="str">
        <f t="shared" si="18"/>
        <v>Normal</v>
      </c>
      <c r="U244" s="20">
        <f t="shared" ca="1" si="19"/>
        <v>46287.029763888888</v>
      </c>
    </row>
    <row r="245" spans="1:21" ht="15.75" thickBot="1" x14ac:dyDescent="0.3">
      <c r="A245" s="4" t="s">
        <v>392</v>
      </c>
      <c r="B245" s="2">
        <v>45748</v>
      </c>
      <c r="C245" s="1" t="s">
        <v>102</v>
      </c>
      <c r="D245" s="1" t="s">
        <v>103</v>
      </c>
      <c r="E245" s="1" t="s">
        <v>80</v>
      </c>
      <c r="F245" s="1" t="s">
        <v>81</v>
      </c>
      <c r="G245" s="39" t="s">
        <v>19</v>
      </c>
      <c r="H245" s="3">
        <v>2</v>
      </c>
      <c r="I245" s="3">
        <v>699.99</v>
      </c>
      <c r="J245" s="1" t="s">
        <v>34</v>
      </c>
      <c r="K245" s="1" t="s">
        <v>40</v>
      </c>
      <c r="L245" s="1" t="s">
        <v>36</v>
      </c>
      <c r="M245" s="2">
        <v>44618</v>
      </c>
      <c r="N245" s="43">
        <v>1399.98</v>
      </c>
      <c r="O245" s="1" t="str">
        <f>TEXT(Sales_Data[[#This Row],[Date]],"mmm-yyyy")</f>
        <v>Apr-2025</v>
      </c>
      <c r="P245" s="1">
        <f>YEAR(Sales_Data[[#This Row],[Date]])</f>
        <v>2025</v>
      </c>
      <c r="Q245" s="13">
        <f t="shared" ca="1" si="15"/>
        <v>1669</v>
      </c>
      <c r="R245" s="1">
        <f t="shared" ca="1" si="16"/>
        <v>4</v>
      </c>
      <c r="S245" s="17">
        <f t="shared" si="17"/>
        <v>45777</v>
      </c>
      <c r="T245" s="1" t="str">
        <f t="shared" si="18"/>
        <v>High Value</v>
      </c>
      <c r="U245" s="20">
        <f t="shared" ca="1" si="19"/>
        <v>46287.029763888888</v>
      </c>
    </row>
    <row r="246" spans="1:21" ht="15.75" thickBot="1" x14ac:dyDescent="0.3">
      <c r="A246" s="4" t="s">
        <v>393</v>
      </c>
      <c r="B246" s="2">
        <v>45749</v>
      </c>
      <c r="C246" s="1" t="s">
        <v>123</v>
      </c>
      <c r="D246" s="1" t="s">
        <v>124</v>
      </c>
      <c r="E246" s="1" t="s">
        <v>61</v>
      </c>
      <c r="F246" s="1" t="s">
        <v>62</v>
      </c>
      <c r="G246" s="39" t="s">
        <v>19</v>
      </c>
      <c r="H246" s="3">
        <v>3</v>
      </c>
      <c r="I246" s="3">
        <v>899.99</v>
      </c>
      <c r="J246" s="1" t="s">
        <v>20</v>
      </c>
      <c r="K246" s="1" t="s">
        <v>21</v>
      </c>
      <c r="L246" s="1" t="s">
        <v>36</v>
      </c>
      <c r="M246" s="2">
        <v>44953</v>
      </c>
      <c r="N246" s="43">
        <v>2699.97</v>
      </c>
      <c r="O246" s="1" t="str">
        <f>TEXT(Sales_Data[[#This Row],[Date]],"mmm-yyyy")</f>
        <v>Apr-2025</v>
      </c>
      <c r="P246" s="1">
        <f>YEAR(Sales_Data[[#This Row],[Date]])</f>
        <v>2025</v>
      </c>
      <c r="Q246" s="13">
        <f t="shared" ca="1" si="15"/>
        <v>1334</v>
      </c>
      <c r="R246" s="1">
        <f t="shared" ca="1" si="16"/>
        <v>3</v>
      </c>
      <c r="S246" s="17">
        <f t="shared" si="17"/>
        <v>45777</v>
      </c>
      <c r="T246" s="1" t="str">
        <f t="shared" si="18"/>
        <v>High Value</v>
      </c>
      <c r="U246" s="20">
        <f t="shared" ca="1" si="19"/>
        <v>46287.029763888888</v>
      </c>
    </row>
    <row r="247" spans="1:21" ht="15.75" thickBot="1" x14ac:dyDescent="0.3">
      <c r="A247" s="4" t="s">
        <v>394</v>
      </c>
      <c r="B247" s="2">
        <v>45755</v>
      </c>
      <c r="C247" s="1" t="s">
        <v>93</v>
      </c>
      <c r="D247" s="1" t="s">
        <v>94</v>
      </c>
      <c r="E247" s="1" t="s">
        <v>114</v>
      </c>
      <c r="F247" s="1" t="s">
        <v>115</v>
      </c>
      <c r="G247" s="39" t="s">
        <v>33</v>
      </c>
      <c r="H247" s="3">
        <v>3</v>
      </c>
      <c r="I247" s="3">
        <v>79.989999999999995</v>
      </c>
      <c r="J247" s="1" t="s">
        <v>26</v>
      </c>
      <c r="K247" s="1" t="s">
        <v>40</v>
      </c>
      <c r="L247" s="1" t="s">
        <v>22</v>
      </c>
      <c r="M247" s="2">
        <v>44511</v>
      </c>
      <c r="N247" s="43">
        <v>239.97</v>
      </c>
      <c r="O247" s="1" t="str">
        <f>TEXT(Sales_Data[[#This Row],[Date]],"mmm-yyyy")</f>
        <v>Apr-2025</v>
      </c>
      <c r="P247" s="1">
        <f>YEAR(Sales_Data[[#This Row],[Date]])</f>
        <v>2025</v>
      </c>
      <c r="Q247" s="13">
        <f t="shared" ca="1" si="15"/>
        <v>1776</v>
      </c>
      <c r="R247" s="1">
        <f t="shared" ca="1" si="16"/>
        <v>4</v>
      </c>
      <c r="S247" s="17">
        <f t="shared" si="17"/>
        <v>45777</v>
      </c>
      <c r="T247" s="1" t="str">
        <f t="shared" si="18"/>
        <v>Normal</v>
      </c>
      <c r="U247" s="20">
        <f t="shared" ca="1" si="19"/>
        <v>46287.029763888888</v>
      </c>
    </row>
    <row r="248" spans="1:21" ht="15.75" thickBot="1" x14ac:dyDescent="0.3">
      <c r="A248" s="4" t="s">
        <v>395</v>
      </c>
      <c r="B248" s="2">
        <v>45756</v>
      </c>
      <c r="C248" s="1" t="s">
        <v>59</v>
      </c>
      <c r="D248" s="1" t="s">
        <v>60</v>
      </c>
      <c r="E248" s="1" t="s">
        <v>117</v>
      </c>
      <c r="F248" s="1" t="s">
        <v>118</v>
      </c>
      <c r="G248" s="39" t="s">
        <v>19</v>
      </c>
      <c r="H248" s="3">
        <v>1</v>
      </c>
      <c r="I248" s="3">
        <v>89.99</v>
      </c>
      <c r="J248" s="1" t="s">
        <v>57</v>
      </c>
      <c r="K248" s="1" t="s">
        <v>63</v>
      </c>
      <c r="L248" s="1" t="s">
        <v>22</v>
      </c>
      <c r="M248" s="2">
        <v>45346</v>
      </c>
      <c r="N248" s="43">
        <v>89.99</v>
      </c>
      <c r="O248" s="1" t="str">
        <f>TEXT(Sales_Data[[#This Row],[Date]],"mmm-yyyy")</f>
        <v>Apr-2025</v>
      </c>
      <c r="P248" s="1">
        <f>YEAR(Sales_Data[[#This Row],[Date]])</f>
        <v>2025</v>
      </c>
      <c r="Q248" s="13">
        <f t="shared" ca="1" si="15"/>
        <v>941</v>
      </c>
      <c r="R248" s="1">
        <f t="shared" ca="1" si="16"/>
        <v>2</v>
      </c>
      <c r="S248" s="17">
        <f t="shared" si="17"/>
        <v>45777</v>
      </c>
      <c r="T248" s="1" t="str">
        <f t="shared" si="18"/>
        <v>Normal</v>
      </c>
      <c r="U248" s="20">
        <f t="shared" ca="1" si="19"/>
        <v>46287.029763888888</v>
      </c>
    </row>
    <row r="249" spans="1:21" ht="15.75" thickBot="1" x14ac:dyDescent="0.3">
      <c r="A249" s="4" t="s">
        <v>396</v>
      </c>
      <c r="B249" s="2">
        <v>45758</v>
      </c>
      <c r="C249" s="1" t="s">
        <v>293</v>
      </c>
      <c r="D249" s="1" t="s">
        <v>294</v>
      </c>
      <c r="E249" s="1" t="s">
        <v>80</v>
      </c>
      <c r="F249" s="1" t="s">
        <v>81</v>
      </c>
      <c r="G249" s="39" t="s">
        <v>19</v>
      </c>
      <c r="H249" s="3">
        <v>3</v>
      </c>
      <c r="I249" s="3">
        <v>699.99</v>
      </c>
      <c r="J249" s="1" t="s">
        <v>34</v>
      </c>
      <c r="K249" s="1" t="s">
        <v>40</v>
      </c>
      <c r="L249" s="1" t="s">
        <v>22</v>
      </c>
      <c r="M249" s="2">
        <v>44909</v>
      </c>
      <c r="N249" s="43">
        <v>2099.9699999999998</v>
      </c>
      <c r="O249" s="1" t="str">
        <f>TEXT(Sales_Data[[#This Row],[Date]],"mmm-yyyy")</f>
        <v>Apr-2025</v>
      </c>
      <c r="P249" s="1">
        <f>YEAR(Sales_Data[[#This Row],[Date]])</f>
        <v>2025</v>
      </c>
      <c r="Q249" s="13">
        <f t="shared" ca="1" si="15"/>
        <v>1378</v>
      </c>
      <c r="R249" s="1">
        <f t="shared" ca="1" si="16"/>
        <v>3</v>
      </c>
      <c r="S249" s="17">
        <f t="shared" si="17"/>
        <v>45777</v>
      </c>
      <c r="T249" s="1" t="str">
        <f t="shared" si="18"/>
        <v>High Value</v>
      </c>
      <c r="U249" s="20">
        <f t="shared" ca="1" si="19"/>
        <v>46287.029763888888</v>
      </c>
    </row>
    <row r="250" spans="1:21" ht="15.75" thickBot="1" x14ac:dyDescent="0.3">
      <c r="A250" s="4" t="s">
        <v>397</v>
      </c>
      <c r="B250" s="2">
        <v>45758</v>
      </c>
      <c r="C250" s="1" t="s">
        <v>226</v>
      </c>
      <c r="D250" s="1" t="s">
        <v>227</v>
      </c>
      <c r="E250" s="1" t="s">
        <v>117</v>
      </c>
      <c r="F250" s="1" t="s">
        <v>118</v>
      </c>
      <c r="G250" s="39" t="s">
        <v>19</v>
      </c>
      <c r="H250" s="3">
        <v>2</v>
      </c>
      <c r="I250" s="3">
        <v>89.99</v>
      </c>
      <c r="J250" s="1" t="s">
        <v>57</v>
      </c>
      <c r="K250" s="1" t="s">
        <v>63</v>
      </c>
      <c r="L250" s="1" t="s">
        <v>22</v>
      </c>
      <c r="M250" s="2">
        <v>45088</v>
      </c>
      <c r="N250" s="43">
        <v>179.98</v>
      </c>
      <c r="O250" s="1" t="str">
        <f>TEXT(Sales_Data[[#This Row],[Date]],"mmm-yyyy")</f>
        <v>Apr-2025</v>
      </c>
      <c r="P250" s="1">
        <f>YEAR(Sales_Data[[#This Row],[Date]])</f>
        <v>2025</v>
      </c>
      <c r="Q250" s="13">
        <f t="shared" ca="1" si="15"/>
        <v>1199</v>
      </c>
      <c r="R250" s="1">
        <f t="shared" ca="1" si="16"/>
        <v>3</v>
      </c>
      <c r="S250" s="17">
        <f t="shared" si="17"/>
        <v>45777</v>
      </c>
      <c r="T250" s="1" t="str">
        <f t="shared" si="18"/>
        <v>Normal</v>
      </c>
      <c r="U250" s="20">
        <f t="shared" ca="1" si="19"/>
        <v>46287.029763888888</v>
      </c>
    </row>
    <row r="251" spans="1:21" ht="15.75" thickBot="1" x14ac:dyDescent="0.3">
      <c r="A251" s="7" t="s">
        <v>398</v>
      </c>
      <c r="B251" s="8">
        <v>45758</v>
      </c>
      <c r="C251" s="9" t="s">
        <v>138</v>
      </c>
      <c r="D251" s="9" t="s">
        <v>139</v>
      </c>
      <c r="E251" s="9" t="s">
        <v>117</v>
      </c>
      <c r="F251" s="9" t="s">
        <v>118</v>
      </c>
      <c r="G251" s="40" t="s">
        <v>19</v>
      </c>
      <c r="H251" s="10">
        <v>3</v>
      </c>
      <c r="I251" s="10">
        <v>89.99</v>
      </c>
      <c r="J251" s="9" t="s">
        <v>57</v>
      </c>
      <c r="K251" s="9" t="s">
        <v>40</v>
      </c>
      <c r="L251" s="9" t="s">
        <v>27</v>
      </c>
      <c r="M251" s="8">
        <v>44878</v>
      </c>
      <c r="N251" s="44">
        <v>269.97000000000003</v>
      </c>
      <c r="O251" s="9" t="str">
        <f>TEXT(Sales_Data[[#This Row],[Date]],"mmm-yyyy")</f>
        <v>Apr-2025</v>
      </c>
      <c r="P251" s="9">
        <f>YEAR(Sales_Data[[#This Row],[Date]])</f>
        <v>2025</v>
      </c>
      <c r="Q251" s="13">
        <f t="shared" ca="1" si="15"/>
        <v>1409</v>
      </c>
      <c r="R251" s="9">
        <f t="shared" ca="1" si="16"/>
        <v>3</v>
      </c>
      <c r="S251" s="18">
        <f t="shared" si="17"/>
        <v>45777</v>
      </c>
      <c r="T251" s="9" t="str">
        <f t="shared" si="18"/>
        <v>Normal</v>
      </c>
      <c r="U251" s="21">
        <f t="shared" ca="1" si="19"/>
        <v>46287.029763888888</v>
      </c>
    </row>
  </sheetData>
  <pageMargins left="0.7" right="0.7" top="0.75" bottom="0.75" header="0.3" footer="0.3"/>
  <pageSetup paperSize="122" orientation="portrait" horizontalDpi="203" verticalDpi="20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DF84-2794-4275-AF5E-13AC9D85F584}">
  <dimension ref="A1:N60"/>
  <sheetViews>
    <sheetView topLeftCell="A43" workbookViewId="0">
      <selection activeCell="E3" sqref="E3"/>
    </sheetView>
  </sheetViews>
  <sheetFormatPr defaultRowHeight="15" x14ac:dyDescent="0.25"/>
  <cols>
    <col min="1" max="1" width="16.7109375" bestFit="1" customWidth="1"/>
    <col min="2" max="2" width="12.28515625" bestFit="1" customWidth="1"/>
    <col min="3" max="3" width="11" customWidth="1"/>
  </cols>
  <sheetData>
    <row r="1" spans="1:14" ht="23.25" x14ac:dyDescent="0.25">
      <c r="A1" s="70" t="s">
        <v>406</v>
      </c>
      <c r="B1" s="70"/>
      <c r="C1" s="70"/>
      <c r="D1" s="70"/>
      <c r="E1" s="70"/>
      <c r="F1" s="70"/>
      <c r="G1" s="70"/>
      <c r="H1" s="70"/>
      <c r="I1" s="70"/>
      <c r="J1" s="70"/>
      <c r="K1" s="70"/>
      <c r="L1" s="70"/>
      <c r="M1" s="70"/>
      <c r="N1" s="70"/>
    </row>
    <row r="4" spans="1:14" x14ac:dyDescent="0.25">
      <c r="A4" s="25" t="s">
        <v>407</v>
      </c>
      <c r="B4" s="26" t="s">
        <v>408</v>
      </c>
    </row>
    <row r="5" spans="1:14" x14ac:dyDescent="0.25">
      <c r="A5" s="27" t="s">
        <v>409</v>
      </c>
      <c r="B5" s="29">
        <f>SUM(Raw_Data!N:N)</f>
        <v>229192.47000000032</v>
      </c>
    </row>
    <row r="6" spans="1:14" ht="30" x14ac:dyDescent="0.25">
      <c r="A6" s="27" t="s">
        <v>410</v>
      </c>
      <c r="B6" s="29">
        <f>COUNTA(Raw_Data!A:A)-1</f>
        <v>250</v>
      </c>
    </row>
    <row r="7" spans="1:14" ht="30" x14ac:dyDescent="0.25">
      <c r="A7" s="27" t="s">
        <v>411</v>
      </c>
      <c r="B7" s="29">
        <f>SUM(Raw_Data!H:H)</f>
        <v>753</v>
      </c>
    </row>
    <row r="8" spans="1:14" ht="30" x14ac:dyDescent="0.25">
      <c r="A8" s="27" t="s">
        <v>412</v>
      </c>
      <c r="B8" s="29">
        <f>AVERAGE(Raw_Data!N:N)</f>
        <v>916.76988000000131</v>
      </c>
    </row>
    <row r="9" spans="1:14" x14ac:dyDescent="0.25">
      <c r="A9" s="27" t="s">
        <v>413</v>
      </c>
      <c r="B9" s="29">
        <f>MAX(Raw_Data!N:N)</f>
        <v>4499.95</v>
      </c>
    </row>
    <row r="10" spans="1:14" x14ac:dyDescent="0.25">
      <c r="A10" s="27" t="s">
        <v>414</v>
      </c>
      <c r="B10" s="29">
        <f>MIN(Raw_Data!N:N)</f>
        <v>59.99</v>
      </c>
    </row>
    <row r="11" spans="1:14" x14ac:dyDescent="0.25">
      <c r="A11" s="27" t="s">
        <v>415</v>
      </c>
      <c r="B11" s="29">
        <f>COUNTA(Raw_Data!C:C)-1</f>
        <v>250</v>
      </c>
    </row>
    <row r="12" spans="1:14" ht="30" x14ac:dyDescent="0.25">
      <c r="A12" s="27" t="s">
        <v>416</v>
      </c>
      <c r="B12" s="29">
        <f>COUNTIF(Raw_Data!T:T,"High Value")</f>
        <v>61</v>
      </c>
    </row>
    <row r="14" spans="1:14" x14ac:dyDescent="0.25">
      <c r="A14" s="37" t="s">
        <v>6</v>
      </c>
      <c r="B14" s="37" t="s">
        <v>417</v>
      </c>
    </row>
    <row r="15" spans="1:14" x14ac:dyDescent="0.25">
      <c r="A15" s="28" t="s">
        <v>19</v>
      </c>
      <c r="B15" s="28">
        <f>SUMIF(Raw_Data!G:G,A15,Raw_Data!N:N)</f>
        <v>171756.05000000013</v>
      </c>
    </row>
    <row r="16" spans="1:14" x14ac:dyDescent="0.25">
      <c r="A16" s="28" t="s">
        <v>33</v>
      </c>
      <c r="B16" s="28">
        <f>SUMIF(Raw_Data!G:G,A16,Raw_Data!N:N)</f>
        <v>8338.7399999999961</v>
      </c>
    </row>
    <row r="17" spans="1:2" x14ac:dyDescent="0.25">
      <c r="A17" s="28" t="s">
        <v>46</v>
      </c>
      <c r="B17" s="28">
        <f>SUMIF(Raw_Data!G:G,A17,Raw_Data!N:N)</f>
        <v>49097.680000000015</v>
      </c>
    </row>
    <row r="19" spans="1:2" x14ac:dyDescent="0.25">
      <c r="A19" s="71" t="s">
        <v>424</v>
      </c>
      <c r="B19" s="71"/>
    </row>
    <row r="20" spans="1:2" x14ac:dyDescent="0.25">
      <c r="A20" s="37" t="s">
        <v>10</v>
      </c>
      <c r="B20" s="37" t="s">
        <v>417</v>
      </c>
    </row>
    <row r="21" spans="1:2" x14ac:dyDescent="0.25">
      <c r="A21" s="28" t="s">
        <v>40</v>
      </c>
      <c r="B21" s="28">
        <f>SUMIF(Raw_Data!K:K,A21,Raw_Data!N:N)</f>
        <v>50808.310000000012</v>
      </c>
    </row>
    <row r="22" spans="1:2" x14ac:dyDescent="0.25">
      <c r="A22" s="28" t="s">
        <v>35</v>
      </c>
      <c r="B22" s="28">
        <f>SUMIF(Raw_Data!K:K,A22,Raw_Data!N:N)</f>
        <v>36398.750000000007</v>
      </c>
    </row>
    <row r="23" spans="1:2" x14ac:dyDescent="0.25">
      <c r="A23" s="28" t="s">
        <v>63</v>
      </c>
      <c r="B23" s="28">
        <f>SUMIF(Raw_Data!K:K,A23,Raw_Data!N:N)</f>
        <v>59288.389999999992</v>
      </c>
    </row>
    <row r="24" spans="1:2" x14ac:dyDescent="0.25">
      <c r="A24" s="28" t="s">
        <v>50</v>
      </c>
      <c r="B24" s="28">
        <f>SUMIF(Raw_Data!K:K,A24,Raw_Data!N:N)</f>
        <v>41408.680000000015</v>
      </c>
    </row>
    <row r="25" spans="1:2" x14ac:dyDescent="0.25">
      <c r="A25" s="28" t="s">
        <v>21</v>
      </c>
      <c r="B25" s="28">
        <f>SUMIF(Raw_Data!K:K,A25,Raw_Data!N:N)</f>
        <v>41288.340000000018</v>
      </c>
    </row>
    <row r="27" spans="1:2" x14ac:dyDescent="0.25">
      <c r="A27" s="72" t="s">
        <v>425</v>
      </c>
      <c r="B27" s="73"/>
    </row>
    <row r="28" spans="1:2" x14ac:dyDescent="0.25">
      <c r="A28" s="37" t="s">
        <v>418</v>
      </c>
      <c r="B28" s="37" t="s">
        <v>417</v>
      </c>
    </row>
    <row r="29" spans="1:2" x14ac:dyDescent="0.25">
      <c r="A29" s="28" t="s">
        <v>20</v>
      </c>
      <c r="B29" s="28">
        <f>SUMIF(Raw_Data!J:J,A29,Raw_Data!N:N)</f>
        <v>57427.790000000023</v>
      </c>
    </row>
    <row r="30" spans="1:2" x14ac:dyDescent="0.25">
      <c r="A30" s="28" t="s">
        <v>26</v>
      </c>
      <c r="B30" s="28">
        <f>SUMIF(Raw_Data!J:J,A30,Raw_Data!N:N)</f>
        <v>61447.960000000014</v>
      </c>
    </row>
    <row r="31" spans="1:2" x14ac:dyDescent="0.25">
      <c r="A31" s="28" t="s">
        <v>57</v>
      </c>
      <c r="B31" s="28">
        <f>SUMIF(Raw_Data!J:J,A31,Raw_Data!N:N)</f>
        <v>52118.310000000005</v>
      </c>
    </row>
    <row r="32" spans="1:2" x14ac:dyDescent="0.25">
      <c r="A32" s="28" t="s">
        <v>34</v>
      </c>
      <c r="B32" s="28">
        <f>SUMIF(Raw_Data!J:J,A32,Raw_Data!N:N)</f>
        <v>58198.409999999996</v>
      </c>
    </row>
    <row r="34" spans="1:3" x14ac:dyDescent="0.25">
      <c r="A34" s="71" t="s">
        <v>426</v>
      </c>
      <c r="B34" s="71"/>
    </row>
    <row r="35" spans="1:3" x14ac:dyDescent="0.25">
      <c r="A35" s="37" t="s">
        <v>419</v>
      </c>
      <c r="B35" s="37" t="s">
        <v>417</v>
      </c>
    </row>
    <row r="36" spans="1:3" x14ac:dyDescent="0.25">
      <c r="A36" s="28" t="s">
        <v>22</v>
      </c>
      <c r="B36" s="28">
        <f>SUMIF(Raw_Data!L:L,A36,Raw_Data!N:N)</f>
        <v>62177.810000000019</v>
      </c>
    </row>
    <row r="37" spans="1:3" x14ac:dyDescent="0.25">
      <c r="A37" s="28" t="s">
        <v>36</v>
      </c>
      <c r="B37" s="28">
        <f>SUMIF(Raw_Data!L:L,A37,Raw_Data!N:N)</f>
        <v>82357.540000000037</v>
      </c>
    </row>
    <row r="38" spans="1:3" x14ac:dyDescent="0.25">
      <c r="A38" s="28" t="s">
        <v>27</v>
      </c>
      <c r="B38" s="28">
        <f>SUMIF(Raw_Data!L:L,A38,Raw_Data!N:N)</f>
        <v>84657.12000000001</v>
      </c>
    </row>
    <row r="41" spans="1:3" x14ac:dyDescent="0.25">
      <c r="A41" s="71" t="s">
        <v>427</v>
      </c>
      <c r="B41" s="71"/>
      <c r="C41" s="71"/>
    </row>
    <row r="42" spans="1:3" x14ac:dyDescent="0.25">
      <c r="A42" s="30" t="s">
        <v>407</v>
      </c>
      <c r="B42" s="30" t="s">
        <v>408</v>
      </c>
      <c r="C42" s="30" t="s">
        <v>420</v>
      </c>
    </row>
    <row r="43" spans="1:3" ht="30" x14ac:dyDescent="0.25">
      <c r="A43" s="31" t="s">
        <v>421</v>
      </c>
      <c r="B43" s="31" t="s">
        <v>422</v>
      </c>
      <c r="C43" s="31" t="s">
        <v>423</v>
      </c>
    </row>
    <row r="44" spans="1:3" x14ac:dyDescent="0.25">
      <c r="A44" s="32" t="s">
        <v>16</v>
      </c>
      <c r="B44" s="33">
        <f>SUMIF(Raw_Data!D:D,A44,Raw_Data!N:N)</f>
        <v>8309.739999999998</v>
      </c>
      <c r="C44" s="34" t="str">
        <f>IF(B44&gt;=5000,"High Value","Normal")</f>
        <v>High Value</v>
      </c>
    </row>
    <row r="45" spans="1:3" x14ac:dyDescent="0.25">
      <c r="A45" s="32" t="s">
        <v>25</v>
      </c>
      <c r="B45" s="33">
        <f>SUMIF(Raw_Data!D:D,A45,Raw_Data!N:N)</f>
        <v>6949.84</v>
      </c>
      <c r="C45" s="34" t="str">
        <f t="shared" ref="C45:C53" si="0">IF(B45&gt;=5000,"High Value","Normal")</f>
        <v>High Value</v>
      </c>
    </row>
    <row r="46" spans="1:3" x14ac:dyDescent="0.25">
      <c r="A46" s="32" t="s">
        <v>30</v>
      </c>
      <c r="B46" s="33">
        <f>SUMIF(Raw_Data!D:D,A46,Raw_Data!N:N)</f>
        <v>3259.87</v>
      </c>
      <c r="C46" s="34" t="str">
        <f t="shared" si="0"/>
        <v>Normal</v>
      </c>
    </row>
    <row r="47" spans="1:3" x14ac:dyDescent="0.25">
      <c r="A47" s="32" t="s">
        <v>39</v>
      </c>
      <c r="B47" s="33">
        <f>SUMIF(Raw_Data!D:D,A47,Raw_Data!N:N)</f>
        <v>4309.8099999999995</v>
      </c>
      <c r="C47" s="34" t="str">
        <f t="shared" si="0"/>
        <v>Normal</v>
      </c>
    </row>
    <row r="48" spans="1:3" x14ac:dyDescent="0.25">
      <c r="A48" s="32" t="s">
        <v>43</v>
      </c>
      <c r="B48" s="33">
        <f>SUMIF(Raw_Data!D:D,A48,Raw_Data!N:N)</f>
        <v>6169.7400000000007</v>
      </c>
      <c r="C48" s="34" t="str">
        <f t="shared" si="0"/>
        <v>High Value</v>
      </c>
    </row>
    <row r="49" spans="1:3" x14ac:dyDescent="0.25">
      <c r="A49" s="32" t="s">
        <v>49</v>
      </c>
      <c r="B49" s="33">
        <f>SUMIF(Raw_Data!D:D,A49,Raw_Data!N:N)</f>
        <v>8269.7900000000009</v>
      </c>
      <c r="C49" s="34" t="str">
        <f t="shared" si="0"/>
        <v>High Value</v>
      </c>
    </row>
    <row r="50" spans="1:3" x14ac:dyDescent="0.25">
      <c r="A50" s="32" t="s">
        <v>56</v>
      </c>
      <c r="B50" s="33">
        <f>SUMIF(Raw_Data!D:D,A50,Raw_Data!N:N)</f>
        <v>5089.7300000000005</v>
      </c>
      <c r="C50" s="34" t="str">
        <f t="shared" si="0"/>
        <v>High Value</v>
      </c>
    </row>
    <row r="51" spans="1:3" x14ac:dyDescent="0.25">
      <c r="A51" s="32" t="s">
        <v>60</v>
      </c>
      <c r="B51" s="33">
        <f>SUMIF(Raw_Data!D:D,A51,Raw_Data!N:N)</f>
        <v>3509.8999999999996</v>
      </c>
      <c r="C51" s="34" t="str">
        <f t="shared" si="0"/>
        <v>Normal</v>
      </c>
    </row>
    <row r="52" spans="1:3" x14ac:dyDescent="0.25">
      <c r="A52" s="32" t="s">
        <v>66</v>
      </c>
      <c r="B52" s="33">
        <f>SUMIF(Raw_Data!D:D,A52,Raw_Data!N:N)</f>
        <v>8009.7699999999995</v>
      </c>
      <c r="C52" s="34" t="str">
        <f t="shared" si="0"/>
        <v>High Value</v>
      </c>
    </row>
    <row r="53" spans="1:3" x14ac:dyDescent="0.25">
      <c r="A53" s="32" t="s">
        <v>69</v>
      </c>
      <c r="B53" s="33">
        <f>SUMIF(Raw_Data!D:D,A53,Raw_Data!N:N)</f>
        <v>1979.89</v>
      </c>
      <c r="C53" s="34" t="str">
        <f t="shared" si="0"/>
        <v>Normal</v>
      </c>
    </row>
    <row r="54" spans="1:3" x14ac:dyDescent="0.25">
      <c r="A54" s="24"/>
    </row>
    <row r="55" spans="1:3" x14ac:dyDescent="0.25">
      <c r="A55" s="24"/>
    </row>
    <row r="56" spans="1:3" x14ac:dyDescent="0.25">
      <c r="A56" s="23"/>
      <c r="B56" s="36"/>
      <c r="C56" s="23"/>
    </row>
    <row r="57" spans="1:3" x14ac:dyDescent="0.25">
      <c r="A57" s="24"/>
      <c r="B57" s="35"/>
      <c r="C57" s="24"/>
    </row>
    <row r="58" spans="1:3" x14ac:dyDescent="0.25">
      <c r="A58" s="24"/>
      <c r="B58" s="35"/>
      <c r="C58" s="24"/>
    </row>
    <row r="59" spans="1:3" x14ac:dyDescent="0.25">
      <c r="A59" s="24"/>
      <c r="B59" s="35"/>
      <c r="C59" s="24"/>
    </row>
    <row r="60" spans="1:3" x14ac:dyDescent="0.25">
      <c r="A60" s="24"/>
      <c r="B60" s="35"/>
      <c r="C60" s="24"/>
    </row>
  </sheetData>
  <mergeCells count="5">
    <mergeCell ref="A1:N1"/>
    <mergeCell ref="A41:C41"/>
    <mergeCell ref="A34:B34"/>
    <mergeCell ref="A27:B27"/>
    <mergeCell ref="A19:B19"/>
  </mergeCells>
  <conditionalFormatting sqref="B5:B12">
    <cfRule type="dataBar" priority="5">
      <dataBar>
        <cfvo type="min"/>
        <cfvo type="max"/>
        <color rgb="FF63C384"/>
      </dataBar>
      <extLst>
        <ext xmlns:x14="http://schemas.microsoft.com/office/spreadsheetml/2009/9/main" uri="{B025F937-C7B1-47D3-B67F-A62EFF666E3E}">
          <x14:id>{D7052A60-C798-4471-8C77-D946D04BED66}</x14:id>
        </ext>
      </extLst>
    </cfRule>
  </conditionalFormatting>
  <conditionalFormatting sqref="B6">
    <cfRule type="dataBar" priority="4">
      <dataBar>
        <cfvo type="min"/>
        <cfvo type="max"/>
        <color rgb="FF63C384"/>
      </dataBar>
      <extLst>
        <ext xmlns:x14="http://schemas.microsoft.com/office/spreadsheetml/2009/9/main" uri="{B025F937-C7B1-47D3-B67F-A62EFF666E3E}">
          <x14:id>{5466F0C4-A462-48E2-8964-217722314371}</x14:id>
        </ext>
      </extLst>
    </cfRule>
  </conditionalFormatting>
  <conditionalFormatting sqref="B7:B12">
    <cfRule type="dataBar" priority="3">
      <dataBar>
        <cfvo type="min"/>
        <cfvo type="max"/>
        <color rgb="FF63C384"/>
      </dataBar>
      <extLst>
        <ext xmlns:x14="http://schemas.microsoft.com/office/spreadsheetml/2009/9/main" uri="{B025F937-C7B1-47D3-B67F-A62EFF666E3E}">
          <x14:id>{3FCF2A64-E236-493C-BA2F-D102E1CB27F3}</x14:id>
        </ext>
      </extLst>
    </cfRule>
  </conditionalFormatting>
  <conditionalFormatting sqref="C44:C53">
    <cfRule type="containsText" dxfId="1" priority="1" operator="containsText" text="High Value">
      <formula>NOT(ISERROR(SEARCH("High Value",C44)))</formula>
    </cfRule>
    <cfRule type="containsText" dxfId="0" priority="2" operator="containsText" text="Normal">
      <formula>NOT(ISERROR(SEARCH("Normal",C44)))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7052A60-C798-4471-8C77-D946D04BED66}">
            <x14:dataBar minLength="0" maxLength="100" border="1" negativeBarBorderColorSameAsPositive="0">
              <x14:cfvo type="autoMin"/>
              <x14:cfvo type="autoMax"/>
              <x14:borderColor rgb="FF63C384"/>
              <x14:negativeFillColor rgb="FFFF0000"/>
              <x14:negativeBorderColor rgb="FFFF0000"/>
              <x14:axisColor rgb="FF000000"/>
            </x14:dataBar>
          </x14:cfRule>
          <xm:sqref>B5:B12</xm:sqref>
        </x14:conditionalFormatting>
        <x14:conditionalFormatting xmlns:xm="http://schemas.microsoft.com/office/excel/2006/main">
          <x14:cfRule type="dataBar" id="{5466F0C4-A462-48E2-8964-217722314371}">
            <x14:dataBar minLength="0" maxLength="100" border="1" negativeBarBorderColorSameAsPositive="0">
              <x14:cfvo type="autoMin"/>
              <x14:cfvo type="autoMax"/>
              <x14:borderColor rgb="FF63C384"/>
              <x14:negativeFillColor rgb="FFFF0000"/>
              <x14:negativeBorderColor rgb="FFFF0000"/>
              <x14:axisColor rgb="FF000000"/>
            </x14:dataBar>
          </x14:cfRule>
          <xm:sqref>B6</xm:sqref>
        </x14:conditionalFormatting>
        <x14:conditionalFormatting xmlns:xm="http://schemas.microsoft.com/office/excel/2006/main">
          <x14:cfRule type="dataBar" id="{3FCF2A64-E236-493C-BA2F-D102E1CB27F3}">
            <x14:dataBar minLength="0" maxLength="100" border="1" negativeBarBorderColorSameAsPositive="0">
              <x14:cfvo type="autoMin"/>
              <x14:cfvo type="autoMax"/>
              <x14:borderColor rgb="FF63C384"/>
              <x14:negativeFillColor rgb="FFFF0000"/>
              <x14:negativeBorderColor rgb="FFFF0000"/>
              <x14:axisColor rgb="FF000000"/>
            </x14:dataBar>
          </x14:cfRule>
          <xm:sqref>B7:B12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389A-3813-4ED2-9161-B51874001940}">
  <dimension ref="A1:I274"/>
  <sheetViews>
    <sheetView workbookViewId="0">
      <selection activeCell="D16" sqref="D16"/>
    </sheetView>
  </sheetViews>
  <sheetFormatPr defaultRowHeight="15" x14ac:dyDescent="0.25"/>
  <cols>
    <col min="1" max="1" width="12.42578125" customWidth="1"/>
    <col min="2" max="2" width="9.140625" customWidth="1"/>
    <col min="4" max="4" width="10.7109375" customWidth="1"/>
    <col min="5" max="5" width="15.85546875" customWidth="1"/>
    <col min="6" max="6" width="13.7109375" customWidth="1"/>
    <col min="7" max="7" width="13.85546875" customWidth="1"/>
    <col min="8" max="8" width="13.140625" customWidth="1"/>
    <col min="9" max="9" width="12.28515625" customWidth="1"/>
  </cols>
  <sheetData>
    <row r="1" spans="1:9" x14ac:dyDescent="0.25">
      <c r="A1" t="s">
        <v>428</v>
      </c>
    </row>
    <row r="2" spans="1:9" ht="15.75" thickBot="1" x14ac:dyDescent="0.3"/>
    <row r="3" spans="1:9" x14ac:dyDescent="0.25">
      <c r="A3" s="45" t="s">
        <v>429</v>
      </c>
      <c r="B3" s="45"/>
    </row>
    <row r="4" spans="1:9" x14ac:dyDescent="0.25">
      <c r="A4" t="s">
        <v>430</v>
      </c>
      <c r="B4">
        <v>0.45808036093237842</v>
      </c>
    </row>
    <row r="5" spans="1:9" x14ac:dyDescent="0.25">
      <c r="A5" t="s">
        <v>431</v>
      </c>
      <c r="B5">
        <v>0.2098376170719381</v>
      </c>
    </row>
    <row r="6" spans="1:9" x14ac:dyDescent="0.25">
      <c r="A6" t="s">
        <v>432</v>
      </c>
      <c r="B6">
        <v>0.20665147843109913</v>
      </c>
    </row>
    <row r="7" spans="1:9" x14ac:dyDescent="0.25">
      <c r="A7" t="s">
        <v>433</v>
      </c>
      <c r="B7">
        <v>919.60715349471081</v>
      </c>
    </row>
    <row r="8" spans="1:9" ht="15.75" thickBot="1" x14ac:dyDescent="0.3">
      <c r="A8" s="46" t="s">
        <v>434</v>
      </c>
      <c r="B8" s="46">
        <v>250</v>
      </c>
    </row>
    <row r="10" spans="1:9" ht="15.75" thickBot="1" x14ac:dyDescent="0.3">
      <c r="A10" t="s">
        <v>435</v>
      </c>
    </row>
    <row r="11" spans="1:9" x14ac:dyDescent="0.25">
      <c r="A11" s="47"/>
      <c r="B11" s="47" t="s">
        <v>436</v>
      </c>
      <c r="C11" s="47" t="s">
        <v>437</v>
      </c>
      <c r="D11" s="47" t="s">
        <v>438</v>
      </c>
      <c r="E11" s="47" t="s">
        <v>439</v>
      </c>
      <c r="F11" s="47" t="s">
        <v>440</v>
      </c>
    </row>
    <row r="12" spans="1:9" x14ac:dyDescent="0.25">
      <c r="A12" t="s">
        <v>441</v>
      </c>
      <c r="B12">
        <v>1</v>
      </c>
      <c r="C12">
        <v>55695916.896352619</v>
      </c>
      <c r="D12">
        <v>55695916.896352619</v>
      </c>
      <c r="E12">
        <v>65.859537429508919</v>
      </c>
      <c r="F12">
        <v>2.2586478953134677E-14</v>
      </c>
    </row>
    <row r="13" spans="1:9" x14ac:dyDescent="0.25">
      <c r="A13" t="s">
        <v>442</v>
      </c>
      <c r="B13">
        <v>248</v>
      </c>
      <c r="C13">
        <v>209727974.55614385</v>
      </c>
      <c r="D13">
        <v>845677.31675864453</v>
      </c>
    </row>
    <row r="14" spans="1:9" ht="15.75" thickBot="1" x14ac:dyDescent="0.3">
      <c r="A14" s="46" t="s">
        <v>443</v>
      </c>
      <c r="B14" s="46">
        <v>249</v>
      </c>
      <c r="C14" s="46">
        <v>265423891.45249647</v>
      </c>
      <c r="D14" s="46"/>
      <c r="E14" s="46"/>
      <c r="F14" s="46"/>
    </row>
    <row r="15" spans="1:9" ht="15.75" thickBot="1" x14ac:dyDescent="0.3"/>
    <row r="16" spans="1:9" x14ac:dyDescent="0.25">
      <c r="A16" s="47"/>
      <c r="B16" s="47" t="s">
        <v>444</v>
      </c>
      <c r="C16" s="47" t="s">
        <v>433</v>
      </c>
      <c r="D16" s="47" t="s">
        <v>445</v>
      </c>
      <c r="E16" s="47" t="s">
        <v>446</v>
      </c>
      <c r="F16" s="47" t="s">
        <v>447</v>
      </c>
      <c r="G16" s="47" t="s">
        <v>448</v>
      </c>
      <c r="H16" s="47" t="s">
        <v>449</v>
      </c>
      <c r="I16" s="47" t="s">
        <v>450</v>
      </c>
    </row>
    <row r="17" spans="1:9" x14ac:dyDescent="0.25">
      <c r="A17" t="s">
        <v>451</v>
      </c>
      <c r="B17">
        <v>-148.85464891541903</v>
      </c>
      <c r="C17">
        <v>143.61334429876464</v>
      </c>
      <c r="D17">
        <v>-1.0364959443166415</v>
      </c>
      <c r="E17">
        <v>0.30098040367911694</v>
      </c>
      <c r="F17">
        <v>-431.71199538208884</v>
      </c>
      <c r="G17">
        <v>134.00269755125078</v>
      </c>
      <c r="H17">
        <v>-431.71199538208884</v>
      </c>
      <c r="I17">
        <v>134.00269755125078</v>
      </c>
    </row>
    <row r="18" spans="1:9" ht="15.75" thickBot="1" x14ac:dyDescent="0.3">
      <c r="A18" s="46" t="s">
        <v>7</v>
      </c>
      <c r="B18" s="46">
        <v>353.7930042879882</v>
      </c>
      <c r="C18" s="46">
        <v>43.595323340526868</v>
      </c>
      <c r="D18" s="46">
        <v>8.1153889265708674</v>
      </c>
      <c r="E18" s="46">
        <v>2.2586478953133775E-14</v>
      </c>
      <c r="F18" s="46">
        <v>267.92871682452869</v>
      </c>
      <c r="G18" s="46">
        <v>439.6572917514477</v>
      </c>
      <c r="H18" s="46">
        <v>267.92871682452869</v>
      </c>
      <c r="I18" s="46">
        <v>439.6572917514477</v>
      </c>
    </row>
    <row r="22" spans="1:9" x14ac:dyDescent="0.25">
      <c r="A22" t="s">
        <v>452</v>
      </c>
    </row>
    <row r="23" spans="1:9" ht="15.75" thickBot="1" x14ac:dyDescent="0.3"/>
    <row r="24" spans="1:9" x14ac:dyDescent="0.25">
      <c r="A24" s="47" t="s">
        <v>453</v>
      </c>
      <c r="B24" s="47" t="s">
        <v>454</v>
      </c>
      <c r="C24" s="47" t="s">
        <v>455</v>
      </c>
    </row>
    <row r="25" spans="1:9" x14ac:dyDescent="0.25">
      <c r="A25">
        <v>1</v>
      </c>
      <c r="B25">
        <v>912.52436394854556</v>
      </c>
      <c r="C25">
        <v>-162.55436394854553</v>
      </c>
    </row>
    <row r="26" spans="1:9" x14ac:dyDescent="0.25">
      <c r="A26">
        <v>2</v>
      </c>
      <c r="B26">
        <v>912.52436394854556</v>
      </c>
      <c r="C26">
        <v>-162.55436394854553</v>
      </c>
    </row>
    <row r="27" spans="1:9" x14ac:dyDescent="0.25">
      <c r="A27">
        <v>3</v>
      </c>
      <c r="B27">
        <v>912.52436394854556</v>
      </c>
      <c r="C27">
        <v>-732.55436394854553</v>
      </c>
    </row>
    <row r="28" spans="1:9" x14ac:dyDescent="0.25">
      <c r="A28">
        <v>4</v>
      </c>
      <c r="B28">
        <v>912.52436394854556</v>
      </c>
      <c r="C28">
        <v>-732.55436394854553</v>
      </c>
    </row>
    <row r="29" spans="1:9" x14ac:dyDescent="0.25">
      <c r="A29">
        <v>5</v>
      </c>
      <c r="B29">
        <v>1620.1103725245221</v>
      </c>
      <c r="C29">
        <v>-870.16037252452202</v>
      </c>
    </row>
    <row r="30" spans="1:9" x14ac:dyDescent="0.25">
      <c r="A30">
        <v>6</v>
      </c>
      <c r="B30">
        <v>558.73135966055736</v>
      </c>
      <c r="C30">
        <v>-438.75135966055734</v>
      </c>
    </row>
    <row r="31" spans="1:9" x14ac:dyDescent="0.25">
      <c r="A31">
        <v>7</v>
      </c>
      <c r="B31">
        <v>1620.1103725245221</v>
      </c>
      <c r="C31">
        <v>-870.16037252452202</v>
      </c>
    </row>
    <row r="32" spans="1:9" x14ac:dyDescent="0.25">
      <c r="A32">
        <v>8</v>
      </c>
      <c r="B32">
        <v>912.52436394854556</v>
      </c>
      <c r="C32">
        <v>-732.55436394854553</v>
      </c>
    </row>
    <row r="33" spans="1:3" x14ac:dyDescent="0.25">
      <c r="A33">
        <v>9</v>
      </c>
      <c r="B33">
        <v>912.52436394854556</v>
      </c>
      <c r="C33">
        <v>1787.4456360514541</v>
      </c>
    </row>
    <row r="34" spans="1:3" x14ac:dyDescent="0.25">
      <c r="A34">
        <v>10</v>
      </c>
      <c r="B34">
        <v>912.52436394854556</v>
      </c>
      <c r="C34">
        <v>-732.55436394854553</v>
      </c>
    </row>
    <row r="35" spans="1:3" x14ac:dyDescent="0.25">
      <c r="A35">
        <v>11</v>
      </c>
      <c r="B35">
        <v>204.93835537256916</v>
      </c>
      <c r="C35">
        <v>-54.948355372569154</v>
      </c>
    </row>
    <row r="36" spans="1:3" x14ac:dyDescent="0.25">
      <c r="A36">
        <v>12</v>
      </c>
      <c r="B36">
        <v>1620.1103725245221</v>
      </c>
      <c r="C36">
        <v>-870.16037252452202</v>
      </c>
    </row>
    <row r="37" spans="1:3" x14ac:dyDescent="0.25">
      <c r="A37">
        <v>13</v>
      </c>
      <c r="B37">
        <v>912.52436394854556</v>
      </c>
      <c r="C37">
        <v>-462.55436394854553</v>
      </c>
    </row>
    <row r="38" spans="1:3" x14ac:dyDescent="0.25">
      <c r="A38">
        <v>14</v>
      </c>
      <c r="B38">
        <v>912.52436394854556</v>
      </c>
      <c r="C38">
        <v>-732.55436394854553</v>
      </c>
    </row>
    <row r="39" spans="1:3" x14ac:dyDescent="0.25">
      <c r="A39">
        <v>15</v>
      </c>
      <c r="B39">
        <v>912.52436394854556</v>
      </c>
      <c r="C39">
        <v>1187.4456360514541</v>
      </c>
    </row>
    <row r="40" spans="1:3" x14ac:dyDescent="0.25">
      <c r="A40">
        <v>16</v>
      </c>
      <c r="B40">
        <v>204.93835537256916</v>
      </c>
      <c r="C40">
        <v>695.05164462743085</v>
      </c>
    </row>
    <row r="41" spans="1:3" x14ac:dyDescent="0.25">
      <c r="A41">
        <v>17</v>
      </c>
      <c r="B41">
        <v>1266.3173682365336</v>
      </c>
      <c r="C41">
        <v>-666.3573682365336</v>
      </c>
    </row>
    <row r="42" spans="1:3" x14ac:dyDescent="0.25">
      <c r="A42">
        <v>18</v>
      </c>
      <c r="B42">
        <v>558.73135966055736</v>
      </c>
      <c r="C42">
        <v>841.24864033944266</v>
      </c>
    </row>
    <row r="43" spans="1:3" x14ac:dyDescent="0.25">
      <c r="A43">
        <v>19</v>
      </c>
      <c r="B43">
        <v>1266.3173682365336</v>
      </c>
      <c r="C43">
        <v>2333.6426317634664</v>
      </c>
    </row>
    <row r="44" spans="1:3" x14ac:dyDescent="0.25">
      <c r="A44">
        <v>20</v>
      </c>
      <c r="B44">
        <v>912.52436394854556</v>
      </c>
      <c r="C44">
        <v>-162.55436394854553</v>
      </c>
    </row>
    <row r="45" spans="1:3" x14ac:dyDescent="0.25">
      <c r="A45">
        <v>21</v>
      </c>
      <c r="B45">
        <v>1620.1103725245221</v>
      </c>
      <c r="C45">
        <v>1879.8396274754778</v>
      </c>
    </row>
    <row r="46" spans="1:3" x14ac:dyDescent="0.25">
      <c r="A46">
        <v>22</v>
      </c>
      <c r="B46">
        <v>1266.3173682365336</v>
      </c>
      <c r="C46">
        <v>1533.6426317634664</v>
      </c>
    </row>
    <row r="47" spans="1:3" x14ac:dyDescent="0.25">
      <c r="A47">
        <v>23</v>
      </c>
      <c r="B47">
        <v>1266.3173682365336</v>
      </c>
      <c r="C47">
        <v>-266.3573682365336</v>
      </c>
    </row>
    <row r="48" spans="1:3" x14ac:dyDescent="0.25">
      <c r="A48">
        <v>24</v>
      </c>
      <c r="B48">
        <v>1266.3173682365336</v>
      </c>
      <c r="C48">
        <v>-66.357368236533603</v>
      </c>
    </row>
    <row r="49" spans="1:3" x14ac:dyDescent="0.25">
      <c r="A49">
        <v>25</v>
      </c>
      <c r="B49">
        <v>1620.1103725245221</v>
      </c>
      <c r="C49">
        <v>-370.16037252452202</v>
      </c>
    </row>
    <row r="50" spans="1:3" x14ac:dyDescent="0.25">
      <c r="A50">
        <v>26</v>
      </c>
      <c r="B50">
        <v>1620.1103725245221</v>
      </c>
      <c r="C50">
        <v>-120.16037252452202</v>
      </c>
    </row>
    <row r="51" spans="1:3" x14ac:dyDescent="0.25">
      <c r="A51">
        <v>27</v>
      </c>
      <c r="B51">
        <v>912.52436394854556</v>
      </c>
      <c r="C51">
        <v>-672.55436394854553</v>
      </c>
    </row>
    <row r="52" spans="1:3" x14ac:dyDescent="0.25">
      <c r="A52">
        <v>28</v>
      </c>
      <c r="B52">
        <v>1620.1103725245221</v>
      </c>
      <c r="C52">
        <v>-1170.160372524522</v>
      </c>
    </row>
    <row r="53" spans="1:3" x14ac:dyDescent="0.25">
      <c r="A53">
        <v>29</v>
      </c>
      <c r="B53">
        <v>558.73135966055736</v>
      </c>
      <c r="C53">
        <v>-438.75135966055734</v>
      </c>
    </row>
    <row r="54" spans="1:3" x14ac:dyDescent="0.25">
      <c r="A54">
        <v>30</v>
      </c>
      <c r="B54">
        <v>1266.3173682365336</v>
      </c>
      <c r="C54">
        <v>-1026.3573682365336</v>
      </c>
    </row>
    <row r="55" spans="1:3" x14ac:dyDescent="0.25">
      <c r="A55">
        <v>31</v>
      </c>
      <c r="B55">
        <v>1620.1103725245221</v>
      </c>
      <c r="C55">
        <v>-620.16037252452202</v>
      </c>
    </row>
    <row r="56" spans="1:3" x14ac:dyDescent="0.25">
      <c r="A56">
        <v>32</v>
      </c>
      <c r="B56">
        <v>558.73135966055736</v>
      </c>
      <c r="C56">
        <v>-258.75135966055734</v>
      </c>
    </row>
    <row r="57" spans="1:3" x14ac:dyDescent="0.25">
      <c r="A57">
        <v>33</v>
      </c>
      <c r="B57">
        <v>912.52436394854556</v>
      </c>
      <c r="C57">
        <v>-462.55436394854553</v>
      </c>
    </row>
    <row r="58" spans="1:3" x14ac:dyDescent="0.25">
      <c r="A58">
        <v>34</v>
      </c>
      <c r="B58">
        <v>204.93835537256916</v>
      </c>
      <c r="C58">
        <v>695.05164462743085</v>
      </c>
    </row>
    <row r="59" spans="1:3" x14ac:dyDescent="0.25">
      <c r="A59">
        <v>35</v>
      </c>
      <c r="B59">
        <v>912.52436394854556</v>
      </c>
      <c r="C59">
        <v>-12.554363948545529</v>
      </c>
    </row>
    <row r="60" spans="1:3" x14ac:dyDescent="0.25">
      <c r="A60">
        <v>36</v>
      </c>
      <c r="B60">
        <v>912.52436394854556</v>
      </c>
      <c r="C60">
        <v>-672.55436394854553</v>
      </c>
    </row>
    <row r="61" spans="1:3" x14ac:dyDescent="0.25">
      <c r="A61">
        <v>37</v>
      </c>
      <c r="B61">
        <v>912.52436394854556</v>
      </c>
      <c r="C61">
        <v>-312.55436394854553</v>
      </c>
    </row>
    <row r="62" spans="1:3" x14ac:dyDescent="0.25">
      <c r="A62">
        <v>38</v>
      </c>
      <c r="B62">
        <v>1620.1103725245221</v>
      </c>
      <c r="C62">
        <v>1879.8396274754778</v>
      </c>
    </row>
    <row r="63" spans="1:3" x14ac:dyDescent="0.25">
      <c r="A63">
        <v>39</v>
      </c>
      <c r="B63">
        <v>912.52436394854556</v>
      </c>
      <c r="C63">
        <v>-642.55436394854553</v>
      </c>
    </row>
    <row r="64" spans="1:3" x14ac:dyDescent="0.25">
      <c r="A64">
        <v>40</v>
      </c>
      <c r="B64">
        <v>204.93835537256916</v>
      </c>
      <c r="C64">
        <v>-124.94835537256917</v>
      </c>
    </row>
    <row r="65" spans="1:3" x14ac:dyDescent="0.25">
      <c r="A65">
        <v>41</v>
      </c>
      <c r="B65">
        <v>558.73135966055736</v>
      </c>
      <c r="C65">
        <v>-438.75135966055734</v>
      </c>
    </row>
    <row r="66" spans="1:3" x14ac:dyDescent="0.25">
      <c r="A66">
        <v>42</v>
      </c>
      <c r="B66">
        <v>204.93835537256916</v>
      </c>
      <c r="C66">
        <v>-114.94835537256917</v>
      </c>
    </row>
    <row r="67" spans="1:3" x14ac:dyDescent="0.25">
      <c r="A67">
        <v>43</v>
      </c>
      <c r="B67">
        <v>1620.1103725245221</v>
      </c>
      <c r="C67">
        <v>-1170.160372524522</v>
      </c>
    </row>
    <row r="68" spans="1:3" x14ac:dyDescent="0.25">
      <c r="A68">
        <v>44</v>
      </c>
      <c r="B68">
        <v>1620.1103725245221</v>
      </c>
      <c r="C68">
        <v>-370.16037252452202</v>
      </c>
    </row>
    <row r="69" spans="1:3" x14ac:dyDescent="0.25">
      <c r="A69">
        <v>45</v>
      </c>
      <c r="B69">
        <v>204.93835537256916</v>
      </c>
      <c r="C69">
        <v>-114.94835537256917</v>
      </c>
    </row>
    <row r="70" spans="1:3" x14ac:dyDescent="0.25">
      <c r="A70">
        <v>46</v>
      </c>
      <c r="B70">
        <v>558.73135966055736</v>
      </c>
      <c r="C70">
        <v>-258.75135966055734</v>
      </c>
    </row>
    <row r="71" spans="1:3" x14ac:dyDescent="0.25">
      <c r="A71">
        <v>47</v>
      </c>
      <c r="B71">
        <v>1266.3173682365336</v>
      </c>
      <c r="C71">
        <v>-1026.3573682365336</v>
      </c>
    </row>
    <row r="72" spans="1:3" x14ac:dyDescent="0.25">
      <c r="A72">
        <v>48</v>
      </c>
      <c r="B72">
        <v>1620.1103725245221</v>
      </c>
      <c r="C72">
        <v>-1170.160372524522</v>
      </c>
    </row>
    <row r="73" spans="1:3" x14ac:dyDescent="0.25">
      <c r="A73">
        <v>49</v>
      </c>
      <c r="B73">
        <v>558.73135966055736</v>
      </c>
      <c r="C73">
        <v>-378.75135966055734</v>
      </c>
    </row>
    <row r="74" spans="1:3" x14ac:dyDescent="0.25">
      <c r="A74">
        <v>50</v>
      </c>
      <c r="B74">
        <v>1620.1103725245221</v>
      </c>
      <c r="C74">
        <v>2879.8396274754778</v>
      </c>
    </row>
    <row r="75" spans="1:3" x14ac:dyDescent="0.25">
      <c r="A75">
        <v>51</v>
      </c>
      <c r="B75">
        <v>1620.1103725245221</v>
      </c>
      <c r="C75">
        <v>2879.8396274754778</v>
      </c>
    </row>
    <row r="76" spans="1:3" x14ac:dyDescent="0.25">
      <c r="A76">
        <v>52</v>
      </c>
      <c r="B76">
        <v>204.93835537256916</v>
      </c>
      <c r="C76">
        <v>-144.94835537256915</v>
      </c>
    </row>
    <row r="77" spans="1:3" x14ac:dyDescent="0.25">
      <c r="A77">
        <v>53</v>
      </c>
      <c r="B77">
        <v>558.73135966055736</v>
      </c>
      <c r="C77">
        <v>41.248640339442659</v>
      </c>
    </row>
    <row r="78" spans="1:3" x14ac:dyDescent="0.25">
      <c r="A78">
        <v>54</v>
      </c>
      <c r="B78">
        <v>1266.3173682365336</v>
      </c>
      <c r="C78">
        <v>-906.3573682365336</v>
      </c>
    </row>
    <row r="79" spans="1:3" x14ac:dyDescent="0.25">
      <c r="A79">
        <v>55</v>
      </c>
      <c r="B79">
        <v>204.93835537256916</v>
      </c>
      <c r="C79">
        <v>-124.94835537256917</v>
      </c>
    </row>
    <row r="80" spans="1:3" x14ac:dyDescent="0.25">
      <c r="A80">
        <v>56</v>
      </c>
      <c r="B80">
        <v>558.73135966055736</v>
      </c>
      <c r="C80">
        <v>-378.75135966055734</v>
      </c>
    </row>
    <row r="81" spans="1:3" x14ac:dyDescent="0.25">
      <c r="A81">
        <v>57</v>
      </c>
      <c r="B81">
        <v>912.52436394854556</v>
      </c>
      <c r="C81">
        <v>1187.4456360514541</v>
      </c>
    </row>
    <row r="82" spans="1:3" x14ac:dyDescent="0.25">
      <c r="A82">
        <v>58</v>
      </c>
      <c r="B82">
        <v>1266.3173682365336</v>
      </c>
      <c r="C82">
        <v>2333.6426317634664</v>
      </c>
    </row>
    <row r="83" spans="1:3" x14ac:dyDescent="0.25">
      <c r="A83">
        <v>59</v>
      </c>
      <c r="B83">
        <v>204.93835537256916</v>
      </c>
      <c r="C83">
        <v>-54.948355372569154</v>
      </c>
    </row>
    <row r="84" spans="1:3" x14ac:dyDescent="0.25">
      <c r="A84">
        <v>60</v>
      </c>
      <c r="B84">
        <v>558.73135966055736</v>
      </c>
      <c r="C84">
        <v>-378.75135966055734</v>
      </c>
    </row>
    <row r="85" spans="1:3" x14ac:dyDescent="0.25">
      <c r="A85">
        <v>61</v>
      </c>
      <c r="B85">
        <v>204.93835537256916</v>
      </c>
      <c r="C85">
        <v>-114.94835537256917</v>
      </c>
    </row>
    <row r="86" spans="1:3" x14ac:dyDescent="0.25">
      <c r="A86">
        <v>62</v>
      </c>
      <c r="B86">
        <v>204.93835537256916</v>
      </c>
      <c r="C86">
        <v>-114.94835537256917</v>
      </c>
    </row>
    <row r="87" spans="1:3" x14ac:dyDescent="0.25">
      <c r="A87">
        <v>63</v>
      </c>
      <c r="B87">
        <v>1620.1103725245221</v>
      </c>
      <c r="C87">
        <v>-1220.160372524522</v>
      </c>
    </row>
    <row r="88" spans="1:3" x14ac:dyDescent="0.25">
      <c r="A88">
        <v>64</v>
      </c>
      <c r="B88">
        <v>204.93835537256916</v>
      </c>
      <c r="C88">
        <v>-54.948355372569154</v>
      </c>
    </row>
    <row r="89" spans="1:3" x14ac:dyDescent="0.25">
      <c r="A89">
        <v>65</v>
      </c>
      <c r="B89">
        <v>558.73135966055736</v>
      </c>
      <c r="C89">
        <v>841.24864033944266</v>
      </c>
    </row>
    <row r="90" spans="1:3" x14ac:dyDescent="0.25">
      <c r="A90">
        <v>66</v>
      </c>
      <c r="B90">
        <v>1620.1103725245221</v>
      </c>
      <c r="C90">
        <v>-1170.160372524522</v>
      </c>
    </row>
    <row r="91" spans="1:3" x14ac:dyDescent="0.25">
      <c r="A91">
        <v>67</v>
      </c>
      <c r="B91">
        <v>1266.3173682365336</v>
      </c>
      <c r="C91">
        <v>-1026.3573682365336</v>
      </c>
    </row>
    <row r="92" spans="1:3" x14ac:dyDescent="0.25">
      <c r="A92">
        <v>68</v>
      </c>
      <c r="B92">
        <v>204.93835537256916</v>
      </c>
      <c r="C92">
        <v>-54.948355372569154</v>
      </c>
    </row>
    <row r="93" spans="1:3" x14ac:dyDescent="0.25">
      <c r="A93">
        <v>69</v>
      </c>
      <c r="B93">
        <v>204.93835537256916</v>
      </c>
      <c r="C93">
        <v>95.051644627430846</v>
      </c>
    </row>
    <row r="94" spans="1:3" x14ac:dyDescent="0.25">
      <c r="A94">
        <v>70</v>
      </c>
      <c r="B94">
        <v>558.73135966055736</v>
      </c>
      <c r="C94">
        <v>-158.75135966055734</v>
      </c>
    </row>
    <row r="95" spans="1:3" x14ac:dyDescent="0.25">
      <c r="A95">
        <v>71</v>
      </c>
      <c r="B95">
        <v>912.52436394854556</v>
      </c>
      <c r="C95">
        <v>-732.55436394854553</v>
      </c>
    </row>
    <row r="96" spans="1:3" x14ac:dyDescent="0.25">
      <c r="A96">
        <v>72</v>
      </c>
      <c r="B96">
        <v>912.52436394854556</v>
      </c>
      <c r="C96">
        <v>-462.55436394854553</v>
      </c>
    </row>
    <row r="97" spans="1:3" x14ac:dyDescent="0.25">
      <c r="A97">
        <v>73</v>
      </c>
      <c r="B97">
        <v>912.52436394854556</v>
      </c>
      <c r="C97">
        <v>-312.55436394854553</v>
      </c>
    </row>
    <row r="98" spans="1:3" x14ac:dyDescent="0.25">
      <c r="A98">
        <v>74</v>
      </c>
      <c r="B98">
        <v>204.93835537256916</v>
      </c>
      <c r="C98">
        <v>695.05164462743085</v>
      </c>
    </row>
    <row r="99" spans="1:3" x14ac:dyDescent="0.25">
      <c r="A99">
        <v>75</v>
      </c>
      <c r="B99">
        <v>1620.1103725245221</v>
      </c>
      <c r="C99">
        <v>2879.8396274754778</v>
      </c>
    </row>
    <row r="100" spans="1:3" x14ac:dyDescent="0.25">
      <c r="A100">
        <v>76</v>
      </c>
      <c r="B100">
        <v>558.73135966055736</v>
      </c>
      <c r="C100">
        <v>-438.75135966055734</v>
      </c>
    </row>
    <row r="101" spans="1:3" x14ac:dyDescent="0.25">
      <c r="A101">
        <v>77</v>
      </c>
      <c r="B101">
        <v>1266.3173682365336</v>
      </c>
      <c r="C101">
        <v>-266.3573682365336</v>
      </c>
    </row>
    <row r="102" spans="1:3" x14ac:dyDescent="0.25">
      <c r="A102">
        <v>78</v>
      </c>
      <c r="B102">
        <v>558.73135966055736</v>
      </c>
      <c r="C102">
        <v>-58.751359660557341</v>
      </c>
    </row>
    <row r="103" spans="1:3" x14ac:dyDescent="0.25">
      <c r="A103">
        <v>79</v>
      </c>
      <c r="B103">
        <v>204.93835537256916</v>
      </c>
      <c r="C103">
        <v>95.051644627430846</v>
      </c>
    </row>
    <row r="104" spans="1:3" x14ac:dyDescent="0.25">
      <c r="A104">
        <v>80</v>
      </c>
      <c r="B104">
        <v>558.73135966055736</v>
      </c>
      <c r="C104">
        <v>-378.75135966055734</v>
      </c>
    </row>
    <row r="105" spans="1:3" x14ac:dyDescent="0.25">
      <c r="A105">
        <v>81</v>
      </c>
      <c r="B105">
        <v>912.52436394854556</v>
      </c>
      <c r="C105">
        <v>-12.554363948545529</v>
      </c>
    </row>
    <row r="106" spans="1:3" x14ac:dyDescent="0.25">
      <c r="A106">
        <v>82</v>
      </c>
      <c r="B106">
        <v>558.73135966055736</v>
      </c>
      <c r="C106">
        <v>841.24864033944266</v>
      </c>
    </row>
    <row r="107" spans="1:3" x14ac:dyDescent="0.25">
      <c r="A107">
        <v>83</v>
      </c>
      <c r="B107">
        <v>1266.3173682365336</v>
      </c>
      <c r="C107">
        <v>2333.6426317634664</v>
      </c>
    </row>
    <row r="108" spans="1:3" x14ac:dyDescent="0.25">
      <c r="A108">
        <v>84</v>
      </c>
      <c r="B108">
        <v>558.73135966055736</v>
      </c>
      <c r="C108">
        <v>-258.75135966055734</v>
      </c>
    </row>
    <row r="109" spans="1:3" x14ac:dyDescent="0.25">
      <c r="A109">
        <v>85</v>
      </c>
      <c r="B109">
        <v>558.73135966055736</v>
      </c>
      <c r="C109">
        <v>-258.75135966055734</v>
      </c>
    </row>
    <row r="110" spans="1:3" x14ac:dyDescent="0.25">
      <c r="A110">
        <v>86</v>
      </c>
      <c r="B110">
        <v>204.93835537256916</v>
      </c>
      <c r="C110">
        <v>-114.94835537256917</v>
      </c>
    </row>
    <row r="111" spans="1:3" x14ac:dyDescent="0.25">
      <c r="A111">
        <v>87</v>
      </c>
      <c r="B111">
        <v>1620.1103725245221</v>
      </c>
      <c r="C111">
        <v>-120.16037252452202</v>
      </c>
    </row>
    <row r="112" spans="1:3" x14ac:dyDescent="0.25">
      <c r="A112">
        <v>88</v>
      </c>
      <c r="B112">
        <v>1266.3173682365336</v>
      </c>
      <c r="C112">
        <v>-666.3573682365336</v>
      </c>
    </row>
    <row r="113" spans="1:3" x14ac:dyDescent="0.25">
      <c r="A113">
        <v>89</v>
      </c>
      <c r="B113">
        <v>1620.1103725245221</v>
      </c>
      <c r="C113">
        <v>-370.16037252452202</v>
      </c>
    </row>
    <row r="114" spans="1:3" x14ac:dyDescent="0.25">
      <c r="A114">
        <v>90</v>
      </c>
      <c r="B114">
        <v>912.52436394854556</v>
      </c>
      <c r="C114">
        <v>-162.55436394854553</v>
      </c>
    </row>
    <row r="115" spans="1:3" x14ac:dyDescent="0.25">
      <c r="A115">
        <v>91</v>
      </c>
      <c r="B115">
        <v>1266.3173682365336</v>
      </c>
      <c r="C115">
        <v>-466.3573682365336</v>
      </c>
    </row>
    <row r="116" spans="1:3" x14ac:dyDescent="0.25">
      <c r="A116">
        <v>92</v>
      </c>
      <c r="B116">
        <v>1620.1103725245221</v>
      </c>
      <c r="C116">
        <v>-620.16037252452202</v>
      </c>
    </row>
    <row r="117" spans="1:3" x14ac:dyDescent="0.25">
      <c r="A117">
        <v>93</v>
      </c>
      <c r="B117">
        <v>558.73135966055736</v>
      </c>
      <c r="C117">
        <v>-378.75135966055734</v>
      </c>
    </row>
    <row r="118" spans="1:3" x14ac:dyDescent="0.25">
      <c r="A118">
        <v>94</v>
      </c>
      <c r="B118">
        <v>1620.1103725245221</v>
      </c>
      <c r="C118">
        <v>2879.8396274754778</v>
      </c>
    </row>
    <row r="119" spans="1:3" x14ac:dyDescent="0.25">
      <c r="A119">
        <v>95</v>
      </c>
      <c r="B119">
        <v>912.52436394854556</v>
      </c>
      <c r="C119">
        <v>-462.55436394854553</v>
      </c>
    </row>
    <row r="120" spans="1:3" x14ac:dyDescent="0.25">
      <c r="A120">
        <v>96</v>
      </c>
      <c r="B120">
        <v>1620.1103725245221</v>
      </c>
      <c r="C120">
        <v>-870.16037252452202</v>
      </c>
    </row>
    <row r="121" spans="1:3" x14ac:dyDescent="0.25">
      <c r="A121">
        <v>97</v>
      </c>
      <c r="B121">
        <v>912.52436394854556</v>
      </c>
      <c r="C121">
        <v>-672.55436394854553</v>
      </c>
    </row>
    <row r="122" spans="1:3" x14ac:dyDescent="0.25">
      <c r="A122">
        <v>98</v>
      </c>
      <c r="B122">
        <v>558.73135966055736</v>
      </c>
      <c r="C122">
        <v>-58.751359660557341</v>
      </c>
    </row>
    <row r="123" spans="1:3" x14ac:dyDescent="0.25">
      <c r="A123">
        <v>99</v>
      </c>
      <c r="B123">
        <v>204.93835537256916</v>
      </c>
      <c r="C123">
        <v>495.05164462743085</v>
      </c>
    </row>
    <row r="124" spans="1:3" x14ac:dyDescent="0.25">
      <c r="A124">
        <v>100</v>
      </c>
      <c r="B124">
        <v>912.52436394854556</v>
      </c>
      <c r="C124">
        <v>-462.55436394854553</v>
      </c>
    </row>
    <row r="125" spans="1:3" x14ac:dyDescent="0.25">
      <c r="A125">
        <v>101</v>
      </c>
      <c r="B125">
        <v>558.73135966055736</v>
      </c>
      <c r="C125">
        <v>841.24864033944266</v>
      </c>
    </row>
    <row r="126" spans="1:3" x14ac:dyDescent="0.25">
      <c r="A126">
        <v>102</v>
      </c>
      <c r="B126">
        <v>204.93835537256916</v>
      </c>
      <c r="C126">
        <v>45.051644627430846</v>
      </c>
    </row>
    <row r="127" spans="1:3" x14ac:dyDescent="0.25">
      <c r="A127">
        <v>103</v>
      </c>
      <c r="B127">
        <v>204.93835537256916</v>
      </c>
      <c r="C127">
        <v>45.051644627430846</v>
      </c>
    </row>
    <row r="128" spans="1:3" x14ac:dyDescent="0.25">
      <c r="A128">
        <v>104</v>
      </c>
      <c r="B128">
        <v>558.73135966055736</v>
      </c>
      <c r="C128">
        <v>841.24864033944266</v>
      </c>
    </row>
    <row r="129" spans="1:3" x14ac:dyDescent="0.25">
      <c r="A129">
        <v>105</v>
      </c>
      <c r="B129">
        <v>912.52436394854556</v>
      </c>
      <c r="C129">
        <v>-732.55436394854553</v>
      </c>
    </row>
    <row r="130" spans="1:3" x14ac:dyDescent="0.25">
      <c r="A130">
        <v>106</v>
      </c>
      <c r="B130">
        <v>912.52436394854556</v>
      </c>
      <c r="C130">
        <v>-732.55436394854553</v>
      </c>
    </row>
    <row r="131" spans="1:3" x14ac:dyDescent="0.25">
      <c r="A131">
        <v>107</v>
      </c>
      <c r="B131">
        <v>1266.3173682365336</v>
      </c>
      <c r="C131">
        <v>-946.3573682365336</v>
      </c>
    </row>
    <row r="132" spans="1:3" x14ac:dyDescent="0.25">
      <c r="A132">
        <v>108</v>
      </c>
      <c r="B132">
        <v>204.93835537256916</v>
      </c>
      <c r="C132">
        <v>-124.94835537256917</v>
      </c>
    </row>
    <row r="133" spans="1:3" x14ac:dyDescent="0.25">
      <c r="A133">
        <v>109</v>
      </c>
      <c r="B133">
        <v>912.52436394854556</v>
      </c>
      <c r="C133">
        <v>-12.554363948545529</v>
      </c>
    </row>
    <row r="134" spans="1:3" x14ac:dyDescent="0.25">
      <c r="A134">
        <v>110</v>
      </c>
      <c r="B134">
        <v>558.73135966055736</v>
      </c>
      <c r="C134">
        <v>-378.75135966055734</v>
      </c>
    </row>
    <row r="135" spans="1:3" x14ac:dyDescent="0.25">
      <c r="A135">
        <v>111</v>
      </c>
      <c r="B135">
        <v>1266.3173682365336</v>
      </c>
      <c r="C135">
        <v>-666.3573682365336</v>
      </c>
    </row>
    <row r="136" spans="1:3" x14ac:dyDescent="0.25">
      <c r="A136">
        <v>112</v>
      </c>
      <c r="B136">
        <v>558.73135966055736</v>
      </c>
      <c r="C136">
        <v>-58.751359660557341</v>
      </c>
    </row>
    <row r="137" spans="1:3" x14ac:dyDescent="0.25">
      <c r="A137">
        <v>113</v>
      </c>
      <c r="B137">
        <v>1266.3173682365336</v>
      </c>
      <c r="C137">
        <v>-466.3573682365336</v>
      </c>
    </row>
    <row r="138" spans="1:3" x14ac:dyDescent="0.25">
      <c r="A138">
        <v>114</v>
      </c>
      <c r="B138">
        <v>1620.1103725245221</v>
      </c>
      <c r="C138">
        <v>-1170.160372524522</v>
      </c>
    </row>
    <row r="139" spans="1:3" x14ac:dyDescent="0.25">
      <c r="A139">
        <v>115</v>
      </c>
      <c r="B139">
        <v>204.93835537256916</v>
      </c>
      <c r="C139">
        <v>-54.948355372569154</v>
      </c>
    </row>
    <row r="140" spans="1:3" x14ac:dyDescent="0.25">
      <c r="A140">
        <v>116</v>
      </c>
      <c r="B140">
        <v>1266.3173682365336</v>
      </c>
      <c r="C140">
        <v>1533.6426317634664</v>
      </c>
    </row>
    <row r="141" spans="1:3" x14ac:dyDescent="0.25">
      <c r="A141">
        <v>117</v>
      </c>
      <c r="B141">
        <v>912.52436394854556</v>
      </c>
      <c r="C141">
        <v>1787.4456360514541</v>
      </c>
    </row>
    <row r="142" spans="1:3" x14ac:dyDescent="0.25">
      <c r="A142">
        <v>118</v>
      </c>
      <c r="B142">
        <v>912.52436394854556</v>
      </c>
      <c r="C142">
        <v>-462.55436394854553</v>
      </c>
    </row>
    <row r="143" spans="1:3" x14ac:dyDescent="0.25">
      <c r="A143">
        <v>119</v>
      </c>
      <c r="B143">
        <v>558.73135966055736</v>
      </c>
      <c r="C143">
        <v>41.248640339442659</v>
      </c>
    </row>
    <row r="144" spans="1:3" x14ac:dyDescent="0.25">
      <c r="A144">
        <v>120</v>
      </c>
      <c r="B144">
        <v>204.93835537256916</v>
      </c>
      <c r="C144">
        <v>-4.9483553725691536</v>
      </c>
    </row>
    <row r="145" spans="1:3" x14ac:dyDescent="0.25">
      <c r="A145">
        <v>121</v>
      </c>
      <c r="B145">
        <v>1266.3173682365336</v>
      </c>
      <c r="C145">
        <v>-66.357368236533603</v>
      </c>
    </row>
    <row r="146" spans="1:3" x14ac:dyDescent="0.25">
      <c r="A146">
        <v>122</v>
      </c>
      <c r="B146">
        <v>558.73135966055736</v>
      </c>
      <c r="C146">
        <v>-438.75135966055734</v>
      </c>
    </row>
    <row r="147" spans="1:3" x14ac:dyDescent="0.25">
      <c r="A147">
        <v>123</v>
      </c>
      <c r="B147">
        <v>1266.3173682365336</v>
      </c>
      <c r="C147">
        <v>-666.3573682365336</v>
      </c>
    </row>
    <row r="148" spans="1:3" x14ac:dyDescent="0.25">
      <c r="A148">
        <v>124</v>
      </c>
      <c r="B148">
        <v>558.73135966055736</v>
      </c>
      <c r="C148">
        <v>841.24864033944266</v>
      </c>
    </row>
    <row r="149" spans="1:3" x14ac:dyDescent="0.25">
      <c r="A149">
        <v>125</v>
      </c>
      <c r="B149">
        <v>912.52436394854556</v>
      </c>
      <c r="C149">
        <v>-462.55436394854553</v>
      </c>
    </row>
    <row r="150" spans="1:3" x14ac:dyDescent="0.25">
      <c r="A150">
        <v>126</v>
      </c>
      <c r="B150">
        <v>912.52436394854556</v>
      </c>
      <c r="C150">
        <v>-12.554363948545529</v>
      </c>
    </row>
    <row r="151" spans="1:3" x14ac:dyDescent="0.25">
      <c r="A151">
        <v>127</v>
      </c>
      <c r="B151">
        <v>912.52436394854556</v>
      </c>
      <c r="C151">
        <v>1787.4456360514541</v>
      </c>
    </row>
    <row r="152" spans="1:3" x14ac:dyDescent="0.25">
      <c r="A152">
        <v>128</v>
      </c>
      <c r="B152">
        <v>1620.1103725245221</v>
      </c>
      <c r="C152">
        <v>1879.8396274754778</v>
      </c>
    </row>
    <row r="153" spans="1:3" x14ac:dyDescent="0.25">
      <c r="A153">
        <v>129</v>
      </c>
      <c r="B153">
        <v>1266.3173682365336</v>
      </c>
      <c r="C153">
        <v>1533.6426317634664</v>
      </c>
    </row>
    <row r="154" spans="1:3" x14ac:dyDescent="0.25">
      <c r="A154">
        <v>130</v>
      </c>
      <c r="B154">
        <v>204.93835537256916</v>
      </c>
      <c r="C154">
        <v>695.05164462743085</v>
      </c>
    </row>
    <row r="155" spans="1:3" x14ac:dyDescent="0.25">
      <c r="A155">
        <v>131</v>
      </c>
      <c r="B155">
        <v>558.73135966055736</v>
      </c>
      <c r="C155">
        <v>-258.75135966055734</v>
      </c>
    </row>
    <row r="156" spans="1:3" x14ac:dyDescent="0.25">
      <c r="A156">
        <v>132</v>
      </c>
      <c r="B156">
        <v>912.52436394854556</v>
      </c>
      <c r="C156">
        <v>-642.55436394854553</v>
      </c>
    </row>
    <row r="157" spans="1:3" x14ac:dyDescent="0.25">
      <c r="A157">
        <v>133</v>
      </c>
      <c r="B157">
        <v>558.73135966055736</v>
      </c>
      <c r="C157">
        <v>-258.75135966055734</v>
      </c>
    </row>
    <row r="158" spans="1:3" x14ac:dyDescent="0.25">
      <c r="A158">
        <v>134</v>
      </c>
      <c r="B158">
        <v>558.73135966055736</v>
      </c>
      <c r="C158">
        <v>841.24864033944266</v>
      </c>
    </row>
    <row r="159" spans="1:3" x14ac:dyDescent="0.25">
      <c r="A159">
        <v>135</v>
      </c>
      <c r="B159">
        <v>1620.1103725245221</v>
      </c>
      <c r="C159">
        <v>1879.8396274754778</v>
      </c>
    </row>
    <row r="160" spans="1:3" x14ac:dyDescent="0.25">
      <c r="A160">
        <v>136</v>
      </c>
      <c r="B160">
        <v>912.52436394854556</v>
      </c>
      <c r="C160">
        <v>-642.55436394854553</v>
      </c>
    </row>
    <row r="161" spans="1:3" x14ac:dyDescent="0.25">
      <c r="A161">
        <v>137</v>
      </c>
      <c r="B161">
        <v>1620.1103725245221</v>
      </c>
      <c r="C161">
        <v>-370.16037252452202</v>
      </c>
    </row>
    <row r="162" spans="1:3" x14ac:dyDescent="0.25">
      <c r="A162">
        <v>138</v>
      </c>
      <c r="B162">
        <v>912.52436394854556</v>
      </c>
      <c r="C162">
        <v>-12.554363948545529</v>
      </c>
    </row>
    <row r="163" spans="1:3" x14ac:dyDescent="0.25">
      <c r="A163">
        <v>139</v>
      </c>
      <c r="B163">
        <v>912.52436394854556</v>
      </c>
      <c r="C163">
        <v>-642.55436394854553</v>
      </c>
    </row>
    <row r="164" spans="1:3" x14ac:dyDescent="0.25">
      <c r="A164">
        <v>140</v>
      </c>
      <c r="B164">
        <v>558.73135966055736</v>
      </c>
      <c r="C164">
        <v>-258.75135966055734</v>
      </c>
    </row>
    <row r="165" spans="1:3" x14ac:dyDescent="0.25">
      <c r="A165">
        <v>141</v>
      </c>
      <c r="B165">
        <v>204.93835537256916</v>
      </c>
      <c r="C165">
        <v>45.051644627430846</v>
      </c>
    </row>
    <row r="166" spans="1:3" x14ac:dyDescent="0.25">
      <c r="A166">
        <v>142</v>
      </c>
      <c r="B166">
        <v>912.52436394854556</v>
      </c>
      <c r="C166">
        <v>-462.55436394854553</v>
      </c>
    </row>
    <row r="167" spans="1:3" x14ac:dyDescent="0.25">
      <c r="A167">
        <v>143</v>
      </c>
      <c r="B167">
        <v>1620.1103725245221</v>
      </c>
      <c r="C167">
        <v>-1320.160372524522</v>
      </c>
    </row>
    <row r="168" spans="1:3" x14ac:dyDescent="0.25">
      <c r="A168">
        <v>144</v>
      </c>
      <c r="B168">
        <v>1266.3173682365336</v>
      </c>
      <c r="C168">
        <v>-266.3573682365336</v>
      </c>
    </row>
    <row r="169" spans="1:3" x14ac:dyDescent="0.25">
      <c r="A169">
        <v>145</v>
      </c>
      <c r="B169">
        <v>1620.1103725245221</v>
      </c>
      <c r="C169">
        <v>-870.16037252452202</v>
      </c>
    </row>
    <row r="170" spans="1:3" x14ac:dyDescent="0.25">
      <c r="A170">
        <v>146</v>
      </c>
      <c r="B170">
        <v>912.52436394854556</v>
      </c>
      <c r="C170">
        <v>-732.55436394854553</v>
      </c>
    </row>
    <row r="171" spans="1:3" x14ac:dyDescent="0.25">
      <c r="A171">
        <v>147</v>
      </c>
      <c r="B171">
        <v>1620.1103725245221</v>
      </c>
      <c r="C171">
        <v>-870.16037252452202</v>
      </c>
    </row>
    <row r="172" spans="1:3" x14ac:dyDescent="0.25">
      <c r="A172">
        <v>148</v>
      </c>
      <c r="B172">
        <v>558.73135966055736</v>
      </c>
      <c r="C172">
        <v>841.24864033944266</v>
      </c>
    </row>
    <row r="173" spans="1:3" x14ac:dyDescent="0.25">
      <c r="A173">
        <v>149</v>
      </c>
      <c r="B173">
        <v>1266.3173682365336</v>
      </c>
      <c r="C173">
        <v>-466.3573682365336</v>
      </c>
    </row>
    <row r="174" spans="1:3" x14ac:dyDescent="0.25">
      <c r="A174">
        <v>150</v>
      </c>
      <c r="B174">
        <v>204.93835537256916</v>
      </c>
      <c r="C174">
        <v>-144.94835537256915</v>
      </c>
    </row>
    <row r="175" spans="1:3" x14ac:dyDescent="0.25">
      <c r="A175">
        <v>151</v>
      </c>
      <c r="B175">
        <v>912.52436394854556</v>
      </c>
      <c r="C175">
        <v>1187.4456360514541</v>
      </c>
    </row>
    <row r="176" spans="1:3" x14ac:dyDescent="0.25">
      <c r="A176">
        <v>152</v>
      </c>
      <c r="B176">
        <v>1620.1103725245221</v>
      </c>
      <c r="C176">
        <v>-370.16037252452202</v>
      </c>
    </row>
    <row r="177" spans="1:3" x14ac:dyDescent="0.25">
      <c r="A177">
        <v>153</v>
      </c>
      <c r="B177">
        <v>558.73135966055736</v>
      </c>
      <c r="C177">
        <v>-258.75135966055734</v>
      </c>
    </row>
    <row r="178" spans="1:3" x14ac:dyDescent="0.25">
      <c r="A178">
        <v>154</v>
      </c>
      <c r="B178">
        <v>912.52436394854556</v>
      </c>
      <c r="C178">
        <v>-12.554363948545529</v>
      </c>
    </row>
    <row r="179" spans="1:3" x14ac:dyDescent="0.25">
      <c r="A179">
        <v>155</v>
      </c>
      <c r="B179">
        <v>1620.1103725245221</v>
      </c>
      <c r="C179">
        <v>-370.16037252452202</v>
      </c>
    </row>
    <row r="180" spans="1:3" x14ac:dyDescent="0.25">
      <c r="A180">
        <v>156</v>
      </c>
      <c r="B180">
        <v>558.73135966055736</v>
      </c>
      <c r="C180">
        <v>-258.75135966055734</v>
      </c>
    </row>
    <row r="181" spans="1:3" x14ac:dyDescent="0.25">
      <c r="A181">
        <v>157</v>
      </c>
      <c r="B181">
        <v>1620.1103725245221</v>
      </c>
      <c r="C181">
        <v>1879.8396274754778</v>
      </c>
    </row>
    <row r="182" spans="1:3" x14ac:dyDescent="0.25">
      <c r="A182">
        <v>158</v>
      </c>
      <c r="B182">
        <v>1266.3173682365336</v>
      </c>
      <c r="C182">
        <v>-266.3573682365336</v>
      </c>
    </row>
    <row r="183" spans="1:3" x14ac:dyDescent="0.25">
      <c r="A183">
        <v>159</v>
      </c>
      <c r="B183">
        <v>1266.3173682365336</v>
      </c>
      <c r="C183">
        <v>1533.6426317634664</v>
      </c>
    </row>
    <row r="184" spans="1:3" x14ac:dyDescent="0.25">
      <c r="A184">
        <v>160</v>
      </c>
      <c r="B184">
        <v>558.73135966055736</v>
      </c>
      <c r="C184">
        <v>-58.751359660557341</v>
      </c>
    </row>
    <row r="185" spans="1:3" x14ac:dyDescent="0.25">
      <c r="A185">
        <v>161</v>
      </c>
      <c r="B185">
        <v>912.52436394854556</v>
      </c>
      <c r="C185">
        <v>-732.55436394854553</v>
      </c>
    </row>
    <row r="186" spans="1:3" x14ac:dyDescent="0.25">
      <c r="A186">
        <v>162</v>
      </c>
      <c r="B186">
        <v>1266.3173682365336</v>
      </c>
      <c r="C186">
        <v>-946.3573682365336</v>
      </c>
    </row>
    <row r="187" spans="1:3" x14ac:dyDescent="0.25">
      <c r="A187">
        <v>163</v>
      </c>
      <c r="B187">
        <v>912.52436394854556</v>
      </c>
      <c r="C187">
        <v>-672.55436394854553</v>
      </c>
    </row>
    <row r="188" spans="1:3" x14ac:dyDescent="0.25">
      <c r="A188">
        <v>164</v>
      </c>
      <c r="B188">
        <v>558.73135966055736</v>
      </c>
      <c r="C188">
        <v>1241.2486403394428</v>
      </c>
    </row>
    <row r="189" spans="1:3" x14ac:dyDescent="0.25">
      <c r="A189">
        <v>165</v>
      </c>
      <c r="B189">
        <v>204.93835537256916</v>
      </c>
      <c r="C189">
        <v>-54.948355372569154</v>
      </c>
    </row>
    <row r="190" spans="1:3" x14ac:dyDescent="0.25">
      <c r="A190">
        <v>166</v>
      </c>
      <c r="B190">
        <v>558.73135966055736</v>
      </c>
      <c r="C190">
        <v>41.248640339442659</v>
      </c>
    </row>
    <row r="191" spans="1:3" x14ac:dyDescent="0.25">
      <c r="A191">
        <v>167</v>
      </c>
      <c r="B191">
        <v>558.73135966055736</v>
      </c>
      <c r="C191">
        <v>-438.75135966055734</v>
      </c>
    </row>
    <row r="192" spans="1:3" x14ac:dyDescent="0.25">
      <c r="A192">
        <v>168</v>
      </c>
      <c r="B192">
        <v>204.93835537256916</v>
      </c>
      <c r="C192">
        <v>-114.94835537256917</v>
      </c>
    </row>
    <row r="193" spans="1:3" x14ac:dyDescent="0.25">
      <c r="A193">
        <v>169</v>
      </c>
      <c r="B193">
        <v>1620.1103725245221</v>
      </c>
      <c r="C193">
        <v>2879.8396274754778</v>
      </c>
    </row>
    <row r="194" spans="1:3" x14ac:dyDescent="0.25">
      <c r="A194">
        <v>170</v>
      </c>
      <c r="B194">
        <v>558.73135966055736</v>
      </c>
      <c r="C194">
        <v>-258.75135966055734</v>
      </c>
    </row>
    <row r="195" spans="1:3" x14ac:dyDescent="0.25">
      <c r="A195">
        <v>171</v>
      </c>
      <c r="B195">
        <v>558.73135966055736</v>
      </c>
      <c r="C195">
        <v>-258.75135966055734</v>
      </c>
    </row>
    <row r="196" spans="1:3" x14ac:dyDescent="0.25">
      <c r="A196">
        <v>172</v>
      </c>
      <c r="B196">
        <v>912.52436394854556</v>
      </c>
      <c r="C196">
        <v>-462.55436394854553</v>
      </c>
    </row>
    <row r="197" spans="1:3" x14ac:dyDescent="0.25">
      <c r="A197">
        <v>173</v>
      </c>
      <c r="B197">
        <v>558.73135966055736</v>
      </c>
      <c r="C197">
        <v>41.248640339442659</v>
      </c>
    </row>
    <row r="198" spans="1:3" x14ac:dyDescent="0.25">
      <c r="A198">
        <v>174</v>
      </c>
      <c r="B198">
        <v>558.73135966055736</v>
      </c>
      <c r="C198">
        <v>41.248640339442659</v>
      </c>
    </row>
    <row r="199" spans="1:3" x14ac:dyDescent="0.25">
      <c r="A199">
        <v>175</v>
      </c>
      <c r="B199">
        <v>1266.3173682365336</v>
      </c>
      <c r="C199">
        <v>-466.3573682365336</v>
      </c>
    </row>
    <row r="200" spans="1:3" x14ac:dyDescent="0.25">
      <c r="A200">
        <v>176</v>
      </c>
      <c r="B200">
        <v>204.93835537256916</v>
      </c>
      <c r="C200">
        <v>-114.94835537256917</v>
      </c>
    </row>
    <row r="201" spans="1:3" x14ac:dyDescent="0.25">
      <c r="A201">
        <v>177</v>
      </c>
      <c r="B201">
        <v>1620.1103725245221</v>
      </c>
      <c r="C201">
        <v>-870.16037252452202</v>
      </c>
    </row>
    <row r="202" spans="1:3" x14ac:dyDescent="0.25">
      <c r="A202">
        <v>178</v>
      </c>
      <c r="B202">
        <v>204.93835537256916</v>
      </c>
      <c r="C202">
        <v>695.05164462743085</v>
      </c>
    </row>
    <row r="203" spans="1:3" x14ac:dyDescent="0.25">
      <c r="A203">
        <v>179</v>
      </c>
      <c r="B203">
        <v>558.73135966055736</v>
      </c>
      <c r="C203">
        <v>-378.75135966055734</v>
      </c>
    </row>
    <row r="204" spans="1:3" x14ac:dyDescent="0.25">
      <c r="A204">
        <v>180</v>
      </c>
      <c r="B204">
        <v>204.93835537256916</v>
      </c>
      <c r="C204">
        <v>695.05164462743085</v>
      </c>
    </row>
    <row r="205" spans="1:3" x14ac:dyDescent="0.25">
      <c r="A205">
        <v>181</v>
      </c>
      <c r="B205">
        <v>1620.1103725245221</v>
      </c>
      <c r="C205">
        <v>-870.16037252452202</v>
      </c>
    </row>
    <row r="206" spans="1:3" x14ac:dyDescent="0.25">
      <c r="A206">
        <v>182</v>
      </c>
      <c r="B206">
        <v>912.52436394854556</v>
      </c>
      <c r="C206">
        <v>-12.554363948545529</v>
      </c>
    </row>
    <row r="207" spans="1:3" x14ac:dyDescent="0.25">
      <c r="A207">
        <v>183</v>
      </c>
      <c r="B207">
        <v>912.52436394854556</v>
      </c>
      <c r="C207">
        <v>1187.4456360514541</v>
      </c>
    </row>
    <row r="208" spans="1:3" x14ac:dyDescent="0.25">
      <c r="A208">
        <v>184</v>
      </c>
      <c r="B208">
        <v>1620.1103725245221</v>
      </c>
      <c r="C208">
        <v>-620.16037252452202</v>
      </c>
    </row>
    <row r="209" spans="1:3" x14ac:dyDescent="0.25">
      <c r="A209">
        <v>185</v>
      </c>
      <c r="B209">
        <v>1620.1103725245221</v>
      </c>
      <c r="C209">
        <v>-370.16037252452202</v>
      </c>
    </row>
    <row r="210" spans="1:3" x14ac:dyDescent="0.25">
      <c r="A210">
        <v>186</v>
      </c>
      <c r="B210">
        <v>1266.3173682365336</v>
      </c>
      <c r="C210">
        <v>-666.3573682365336</v>
      </c>
    </row>
    <row r="211" spans="1:3" x14ac:dyDescent="0.25">
      <c r="A211">
        <v>187</v>
      </c>
      <c r="B211">
        <v>912.52436394854556</v>
      </c>
      <c r="C211">
        <v>1187.4456360514541</v>
      </c>
    </row>
    <row r="212" spans="1:3" x14ac:dyDescent="0.25">
      <c r="A212">
        <v>188</v>
      </c>
      <c r="B212">
        <v>204.93835537256916</v>
      </c>
      <c r="C212">
        <v>-124.94835537256917</v>
      </c>
    </row>
    <row r="213" spans="1:3" x14ac:dyDescent="0.25">
      <c r="A213">
        <v>189</v>
      </c>
      <c r="B213">
        <v>204.93835537256916</v>
      </c>
      <c r="C213">
        <v>95.051644627430846</v>
      </c>
    </row>
    <row r="214" spans="1:3" x14ac:dyDescent="0.25">
      <c r="A214">
        <v>190</v>
      </c>
      <c r="B214">
        <v>1266.3173682365336</v>
      </c>
      <c r="C214">
        <v>-266.3573682365336</v>
      </c>
    </row>
    <row r="215" spans="1:3" x14ac:dyDescent="0.25">
      <c r="A215">
        <v>191</v>
      </c>
      <c r="B215">
        <v>558.73135966055736</v>
      </c>
      <c r="C215">
        <v>-258.75135966055734</v>
      </c>
    </row>
    <row r="216" spans="1:3" x14ac:dyDescent="0.25">
      <c r="A216">
        <v>192</v>
      </c>
      <c r="B216">
        <v>912.52436394854556</v>
      </c>
      <c r="C216">
        <v>-12.554363948545529</v>
      </c>
    </row>
    <row r="217" spans="1:3" x14ac:dyDescent="0.25">
      <c r="A217">
        <v>193</v>
      </c>
      <c r="B217">
        <v>1266.3173682365336</v>
      </c>
      <c r="C217">
        <v>-466.3573682365336</v>
      </c>
    </row>
    <row r="218" spans="1:3" x14ac:dyDescent="0.25">
      <c r="A218">
        <v>194</v>
      </c>
      <c r="B218">
        <v>1620.1103725245221</v>
      </c>
      <c r="C218">
        <v>-120.16037252452202</v>
      </c>
    </row>
    <row r="219" spans="1:3" x14ac:dyDescent="0.25">
      <c r="A219">
        <v>195</v>
      </c>
      <c r="B219">
        <v>912.52436394854556</v>
      </c>
      <c r="C219">
        <v>-462.55436394854553</v>
      </c>
    </row>
    <row r="220" spans="1:3" x14ac:dyDescent="0.25">
      <c r="A220">
        <v>196</v>
      </c>
      <c r="B220">
        <v>1620.1103725245221</v>
      </c>
      <c r="C220">
        <v>-1320.160372524522</v>
      </c>
    </row>
    <row r="221" spans="1:3" x14ac:dyDescent="0.25">
      <c r="A221">
        <v>197</v>
      </c>
      <c r="B221">
        <v>1266.3173682365336</v>
      </c>
      <c r="C221">
        <v>-1026.3573682365336</v>
      </c>
    </row>
    <row r="222" spans="1:3" x14ac:dyDescent="0.25">
      <c r="A222">
        <v>198</v>
      </c>
      <c r="B222">
        <v>1266.3173682365336</v>
      </c>
      <c r="C222">
        <v>-266.3573682365336</v>
      </c>
    </row>
    <row r="223" spans="1:3" x14ac:dyDescent="0.25">
      <c r="A223">
        <v>199</v>
      </c>
      <c r="B223">
        <v>1266.3173682365336</v>
      </c>
      <c r="C223">
        <v>2333.6426317634664</v>
      </c>
    </row>
    <row r="224" spans="1:3" x14ac:dyDescent="0.25">
      <c r="A224">
        <v>200</v>
      </c>
      <c r="B224">
        <v>912.52436394854556</v>
      </c>
      <c r="C224">
        <v>-12.554363948545529</v>
      </c>
    </row>
    <row r="225" spans="1:3" x14ac:dyDescent="0.25">
      <c r="A225">
        <v>201</v>
      </c>
      <c r="B225">
        <v>558.73135966055736</v>
      </c>
      <c r="C225">
        <v>841.24864033944266</v>
      </c>
    </row>
    <row r="226" spans="1:3" x14ac:dyDescent="0.25">
      <c r="A226">
        <v>202</v>
      </c>
      <c r="B226">
        <v>1266.3173682365336</v>
      </c>
      <c r="C226">
        <v>1533.6426317634664</v>
      </c>
    </row>
    <row r="227" spans="1:3" x14ac:dyDescent="0.25">
      <c r="A227">
        <v>203</v>
      </c>
      <c r="B227">
        <v>558.73135966055736</v>
      </c>
      <c r="C227">
        <v>-378.75135966055734</v>
      </c>
    </row>
    <row r="228" spans="1:3" x14ac:dyDescent="0.25">
      <c r="A228">
        <v>204</v>
      </c>
      <c r="B228">
        <v>912.52436394854556</v>
      </c>
      <c r="C228">
        <v>-642.55436394854553</v>
      </c>
    </row>
    <row r="229" spans="1:3" x14ac:dyDescent="0.25">
      <c r="A229">
        <v>205</v>
      </c>
      <c r="B229">
        <v>204.93835537256916</v>
      </c>
      <c r="C229">
        <v>-144.94835537256915</v>
      </c>
    </row>
    <row r="230" spans="1:3" x14ac:dyDescent="0.25">
      <c r="A230">
        <v>206</v>
      </c>
      <c r="B230">
        <v>912.52436394854556</v>
      </c>
      <c r="C230">
        <v>-462.55436394854553</v>
      </c>
    </row>
    <row r="231" spans="1:3" x14ac:dyDescent="0.25">
      <c r="A231">
        <v>207</v>
      </c>
      <c r="B231">
        <v>1620.1103725245221</v>
      </c>
      <c r="C231">
        <v>-120.16037252452202</v>
      </c>
    </row>
    <row r="232" spans="1:3" x14ac:dyDescent="0.25">
      <c r="A232">
        <v>208</v>
      </c>
      <c r="B232">
        <v>1620.1103725245221</v>
      </c>
      <c r="C232">
        <v>-1320.160372524522</v>
      </c>
    </row>
    <row r="233" spans="1:3" x14ac:dyDescent="0.25">
      <c r="A233">
        <v>209</v>
      </c>
      <c r="B233">
        <v>912.52436394854556</v>
      </c>
      <c r="C233">
        <v>-672.55436394854553</v>
      </c>
    </row>
    <row r="234" spans="1:3" x14ac:dyDescent="0.25">
      <c r="A234">
        <v>210</v>
      </c>
      <c r="B234">
        <v>912.52436394854556</v>
      </c>
      <c r="C234">
        <v>-312.55436394854553</v>
      </c>
    </row>
    <row r="235" spans="1:3" x14ac:dyDescent="0.25">
      <c r="A235">
        <v>211</v>
      </c>
      <c r="B235">
        <v>558.73135966055736</v>
      </c>
      <c r="C235">
        <v>-378.75135966055734</v>
      </c>
    </row>
    <row r="236" spans="1:3" x14ac:dyDescent="0.25">
      <c r="A236">
        <v>212</v>
      </c>
      <c r="B236">
        <v>558.73135966055736</v>
      </c>
      <c r="C236">
        <v>-258.75135966055734</v>
      </c>
    </row>
    <row r="237" spans="1:3" x14ac:dyDescent="0.25">
      <c r="A237">
        <v>213</v>
      </c>
      <c r="B237">
        <v>1620.1103725245221</v>
      </c>
      <c r="C237">
        <v>1879.8396274754778</v>
      </c>
    </row>
    <row r="238" spans="1:3" x14ac:dyDescent="0.25">
      <c r="A238">
        <v>214</v>
      </c>
      <c r="B238">
        <v>912.52436394854556</v>
      </c>
      <c r="C238">
        <v>-462.55436394854553</v>
      </c>
    </row>
    <row r="239" spans="1:3" x14ac:dyDescent="0.25">
      <c r="A239">
        <v>215</v>
      </c>
      <c r="B239">
        <v>912.52436394854556</v>
      </c>
      <c r="C239">
        <v>1787.4456360514541</v>
      </c>
    </row>
    <row r="240" spans="1:3" x14ac:dyDescent="0.25">
      <c r="A240">
        <v>216</v>
      </c>
      <c r="B240">
        <v>912.52436394854556</v>
      </c>
      <c r="C240">
        <v>-312.55436394854553</v>
      </c>
    </row>
    <row r="241" spans="1:3" x14ac:dyDescent="0.25">
      <c r="A241">
        <v>217</v>
      </c>
      <c r="B241">
        <v>1620.1103725245221</v>
      </c>
      <c r="C241">
        <v>-120.16037252452202</v>
      </c>
    </row>
    <row r="242" spans="1:3" x14ac:dyDescent="0.25">
      <c r="A242">
        <v>218</v>
      </c>
      <c r="B242">
        <v>204.93835537256916</v>
      </c>
      <c r="C242">
        <v>495.05164462743085</v>
      </c>
    </row>
    <row r="243" spans="1:3" x14ac:dyDescent="0.25">
      <c r="A243">
        <v>219</v>
      </c>
      <c r="B243">
        <v>204.93835537256916</v>
      </c>
      <c r="C243">
        <v>495.05164462743085</v>
      </c>
    </row>
    <row r="244" spans="1:3" x14ac:dyDescent="0.25">
      <c r="A244">
        <v>220</v>
      </c>
      <c r="B244">
        <v>1266.3173682365336</v>
      </c>
      <c r="C244">
        <v>-666.3573682365336</v>
      </c>
    </row>
    <row r="245" spans="1:3" x14ac:dyDescent="0.25">
      <c r="A245">
        <v>221</v>
      </c>
      <c r="B245">
        <v>1620.1103725245221</v>
      </c>
      <c r="C245">
        <v>-1170.160372524522</v>
      </c>
    </row>
    <row r="246" spans="1:3" x14ac:dyDescent="0.25">
      <c r="A246">
        <v>222</v>
      </c>
      <c r="B246">
        <v>558.73135966055736</v>
      </c>
      <c r="C246">
        <v>-158.75135966055734</v>
      </c>
    </row>
    <row r="247" spans="1:3" x14ac:dyDescent="0.25">
      <c r="A247">
        <v>223</v>
      </c>
      <c r="B247">
        <v>1266.3173682365336</v>
      </c>
      <c r="C247">
        <v>-1026.3573682365336</v>
      </c>
    </row>
    <row r="248" spans="1:3" x14ac:dyDescent="0.25">
      <c r="A248">
        <v>224</v>
      </c>
      <c r="B248">
        <v>558.73135966055736</v>
      </c>
      <c r="C248">
        <v>41.248640339442659</v>
      </c>
    </row>
    <row r="249" spans="1:3" x14ac:dyDescent="0.25">
      <c r="A249">
        <v>225</v>
      </c>
      <c r="B249">
        <v>558.73135966055736</v>
      </c>
      <c r="C249">
        <v>-258.75135966055734</v>
      </c>
    </row>
    <row r="250" spans="1:3" x14ac:dyDescent="0.25">
      <c r="A250">
        <v>226</v>
      </c>
      <c r="B250">
        <v>1620.1103725245221</v>
      </c>
      <c r="C250">
        <v>1879.8396274754778</v>
      </c>
    </row>
    <row r="251" spans="1:3" x14ac:dyDescent="0.25">
      <c r="A251">
        <v>227</v>
      </c>
      <c r="B251">
        <v>1620.1103725245221</v>
      </c>
      <c r="C251">
        <v>-1320.160372524522</v>
      </c>
    </row>
    <row r="252" spans="1:3" x14ac:dyDescent="0.25">
      <c r="A252">
        <v>228</v>
      </c>
      <c r="B252">
        <v>558.73135966055736</v>
      </c>
      <c r="C252">
        <v>-378.75135966055734</v>
      </c>
    </row>
    <row r="253" spans="1:3" x14ac:dyDescent="0.25">
      <c r="A253">
        <v>229</v>
      </c>
      <c r="B253">
        <v>1620.1103725245221</v>
      </c>
      <c r="C253">
        <v>-370.16037252452202</v>
      </c>
    </row>
    <row r="254" spans="1:3" x14ac:dyDescent="0.25">
      <c r="A254">
        <v>230</v>
      </c>
      <c r="B254">
        <v>558.73135966055736</v>
      </c>
      <c r="C254">
        <v>-258.75135966055734</v>
      </c>
    </row>
    <row r="255" spans="1:3" x14ac:dyDescent="0.25">
      <c r="A255">
        <v>231</v>
      </c>
      <c r="B255">
        <v>1620.1103725245221</v>
      </c>
      <c r="C255">
        <v>2879.8396274754778</v>
      </c>
    </row>
    <row r="256" spans="1:3" x14ac:dyDescent="0.25">
      <c r="A256">
        <v>232</v>
      </c>
      <c r="B256">
        <v>1266.3173682365336</v>
      </c>
      <c r="C256">
        <v>-666.3573682365336</v>
      </c>
    </row>
    <row r="257" spans="1:3" x14ac:dyDescent="0.25">
      <c r="A257">
        <v>233</v>
      </c>
      <c r="B257">
        <v>204.93835537256916</v>
      </c>
      <c r="C257">
        <v>45.051644627430846</v>
      </c>
    </row>
    <row r="258" spans="1:3" x14ac:dyDescent="0.25">
      <c r="A258">
        <v>234</v>
      </c>
      <c r="B258">
        <v>558.73135966055736</v>
      </c>
      <c r="C258">
        <v>-438.75135966055734</v>
      </c>
    </row>
    <row r="259" spans="1:3" x14ac:dyDescent="0.25">
      <c r="A259">
        <v>235</v>
      </c>
      <c r="B259">
        <v>558.73135966055736</v>
      </c>
      <c r="C259">
        <v>-258.75135966055734</v>
      </c>
    </row>
    <row r="260" spans="1:3" x14ac:dyDescent="0.25">
      <c r="A260">
        <v>236</v>
      </c>
      <c r="B260">
        <v>912.52436394854556</v>
      </c>
      <c r="C260">
        <v>1787.4456360514541</v>
      </c>
    </row>
    <row r="261" spans="1:3" x14ac:dyDescent="0.25">
      <c r="A261">
        <v>237</v>
      </c>
      <c r="B261">
        <v>912.52436394854556</v>
      </c>
      <c r="C261">
        <v>1787.4456360514541</v>
      </c>
    </row>
    <row r="262" spans="1:3" x14ac:dyDescent="0.25">
      <c r="A262">
        <v>238</v>
      </c>
      <c r="B262">
        <v>912.52436394854556</v>
      </c>
      <c r="C262">
        <v>-12.554363948545529</v>
      </c>
    </row>
    <row r="263" spans="1:3" x14ac:dyDescent="0.25">
      <c r="A263">
        <v>239</v>
      </c>
      <c r="B263">
        <v>1266.3173682365336</v>
      </c>
      <c r="C263">
        <v>-666.3573682365336</v>
      </c>
    </row>
    <row r="264" spans="1:3" x14ac:dyDescent="0.25">
      <c r="A264">
        <v>240</v>
      </c>
      <c r="B264">
        <v>1266.3173682365336</v>
      </c>
      <c r="C264">
        <v>-946.3573682365336</v>
      </c>
    </row>
    <row r="265" spans="1:3" x14ac:dyDescent="0.25">
      <c r="A265">
        <v>241</v>
      </c>
      <c r="B265">
        <v>1620.1103725245221</v>
      </c>
      <c r="C265">
        <v>-1170.160372524522</v>
      </c>
    </row>
    <row r="266" spans="1:3" x14ac:dyDescent="0.25">
      <c r="A266">
        <v>242</v>
      </c>
      <c r="B266">
        <v>912.52436394854556</v>
      </c>
      <c r="C266">
        <v>-462.55436394854553</v>
      </c>
    </row>
    <row r="267" spans="1:3" x14ac:dyDescent="0.25">
      <c r="A267">
        <v>243</v>
      </c>
      <c r="B267">
        <v>558.73135966055736</v>
      </c>
      <c r="C267">
        <v>-378.75135966055734</v>
      </c>
    </row>
    <row r="268" spans="1:3" x14ac:dyDescent="0.25">
      <c r="A268">
        <v>244</v>
      </c>
      <c r="B268">
        <v>558.73135966055736</v>
      </c>
      <c r="C268">
        <v>841.24864033944266</v>
      </c>
    </row>
    <row r="269" spans="1:3" x14ac:dyDescent="0.25">
      <c r="A269">
        <v>245</v>
      </c>
      <c r="B269">
        <v>912.52436394854556</v>
      </c>
      <c r="C269">
        <v>1787.4456360514541</v>
      </c>
    </row>
    <row r="270" spans="1:3" x14ac:dyDescent="0.25">
      <c r="A270">
        <v>246</v>
      </c>
      <c r="B270">
        <v>912.52436394854556</v>
      </c>
      <c r="C270">
        <v>-672.55436394854553</v>
      </c>
    </row>
    <row r="271" spans="1:3" x14ac:dyDescent="0.25">
      <c r="A271">
        <v>247</v>
      </c>
      <c r="B271">
        <v>204.93835537256916</v>
      </c>
      <c r="C271">
        <v>-114.94835537256917</v>
      </c>
    </row>
    <row r="272" spans="1:3" x14ac:dyDescent="0.25">
      <c r="A272">
        <v>248</v>
      </c>
      <c r="B272">
        <v>912.52436394854556</v>
      </c>
      <c r="C272">
        <v>1187.4456360514541</v>
      </c>
    </row>
    <row r="273" spans="1:3" x14ac:dyDescent="0.25">
      <c r="A273">
        <v>249</v>
      </c>
      <c r="B273">
        <v>558.73135966055736</v>
      </c>
      <c r="C273">
        <v>-378.75135966055734</v>
      </c>
    </row>
    <row r="274" spans="1:3" ht="15.75" thickBot="1" x14ac:dyDescent="0.3">
      <c r="A274" s="46">
        <v>250</v>
      </c>
      <c r="B274" s="46">
        <v>912.52436394854556</v>
      </c>
      <c r="C274" s="46">
        <v>-642.55436394854553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C46B-7CB9-4EF7-ACAA-3B501908C2AE}">
  <dimension ref="A1:L75"/>
  <sheetViews>
    <sheetView topLeftCell="A73" workbookViewId="0">
      <selection activeCell="U37" sqref="U37"/>
    </sheetView>
  </sheetViews>
  <sheetFormatPr defaultRowHeight="15" x14ac:dyDescent="0.25"/>
  <cols>
    <col min="1" max="1" width="9.42578125" bestFit="1" customWidth="1"/>
    <col min="2" max="2" width="10.42578125" bestFit="1" customWidth="1"/>
    <col min="5" max="5" width="21.85546875" bestFit="1" customWidth="1"/>
    <col min="6" max="6" width="11.5703125" bestFit="1" customWidth="1"/>
    <col min="9" max="9" width="29.85546875" customWidth="1"/>
    <col min="10" max="10" width="21.42578125" customWidth="1"/>
  </cols>
  <sheetData>
    <row r="1" spans="1:12" ht="21" x14ac:dyDescent="0.35">
      <c r="A1" s="75" t="s">
        <v>458</v>
      </c>
      <c r="B1" s="75"/>
      <c r="C1" s="75"/>
      <c r="D1" s="75"/>
      <c r="E1" s="75"/>
      <c r="F1" s="75"/>
      <c r="G1" s="75"/>
      <c r="H1" s="75"/>
      <c r="I1" s="75"/>
      <c r="J1" s="75"/>
    </row>
    <row r="3" spans="1:12" x14ac:dyDescent="0.25">
      <c r="A3" s="52" t="s">
        <v>459</v>
      </c>
      <c r="B3" s="52"/>
      <c r="E3" s="52" t="s">
        <v>462</v>
      </c>
      <c r="F3" s="52"/>
      <c r="G3" s="52"/>
      <c r="I3" s="74" t="s">
        <v>464</v>
      </c>
      <c r="J3" s="74"/>
      <c r="K3" s="74"/>
      <c r="L3" s="74"/>
    </row>
    <row r="4" spans="1:12" x14ac:dyDescent="0.25">
      <c r="A4" s="48" t="s">
        <v>10</v>
      </c>
      <c r="B4" s="22" t="s">
        <v>456</v>
      </c>
      <c r="E4" s="48" t="s">
        <v>5</v>
      </c>
      <c r="F4" t="s">
        <v>461</v>
      </c>
      <c r="I4" s="48" t="s">
        <v>11</v>
      </c>
      <c r="J4" s="22" t="s">
        <v>465</v>
      </c>
    </row>
    <row r="5" spans="1:12" x14ac:dyDescent="0.25">
      <c r="A5" t="s">
        <v>21</v>
      </c>
      <c r="B5" s="49">
        <v>41288.340000000018</v>
      </c>
      <c r="E5" t="s">
        <v>45</v>
      </c>
      <c r="F5">
        <v>102</v>
      </c>
      <c r="I5" t="s">
        <v>22</v>
      </c>
      <c r="J5" s="53">
        <v>62177.810000000019</v>
      </c>
    </row>
    <row r="6" spans="1:12" x14ac:dyDescent="0.25">
      <c r="A6" t="s">
        <v>63</v>
      </c>
      <c r="B6" s="49">
        <v>59288.389999999992</v>
      </c>
      <c r="E6" t="s">
        <v>81</v>
      </c>
      <c r="F6">
        <v>96</v>
      </c>
      <c r="I6" t="s">
        <v>27</v>
      </c>
      <c r="J6" s="53">
        <v>84657.12000000001</v>
      </c>
    </row>
    <row r="7" spans="1:12" x14ac:dyDescent="0.25">
      <c r="A7" t="s">
        <v>40</v>
      </c>
      <c r="B7" s="49">
        <v>50808.310000000012</v>
      </c>
      <c r="E7" t="s">
        <v>118</v>
      </c>
      <c r="F7">
        <v>89</v>
      </c>
      <c r="I7" t="s">
        <v>36</v>
      </c>
      <c r="J7" s="53">
        <v>82357.540000000037</v>
      </c>
    </row>
    <row r="8" spans="1:12" x14ac:dyDescent="0.25">
      <c r="A8" t="s">
        <v>35</v>
      </c>
      <c r="B8" s="49">
        <v>36398.750000000007</v>
      </c>
      <c r="E8" t="s">
        <v>18</v>
      </c>
      <c r="F8">
        <v>88</v>
      </c>
    </row>
    <row r="9" spans="1:12" x14ac:dyDescent="0.25">
      <c r="A9" t="s">
        <v>50</v>
      </c>
      <c r="B9" s="49">
        <v>41408.680000000015</v>
      </c>
      <c r="E9" t="s">
        <v>32</v>
      </c>
      <c r="F9">
        <v>87</v>
      </c>
    </row>
    <row r="10" spans="1:12" x14ac:dyDescent="0.25">
      <c r="E10" t="s">
        <v>106</v>
      </c>
      <c r="F10">
        <v>78</v>
      </c>
    </row>
    <row r="11" spans="1:12" x14ac:dyDescent="0.25">
      <c r="E11" t="s">
        <v>62</v>
      </c>
      <c r="F11">
        <v>75</v>
      </c>
    </row>
    <row r="12" spans="1:12" x14ac:dyDescent="0.25">
      <c r="E12" t="s">
        <v>127</v>
      </c>
      <c r="F12">
        <v>52</v>
      </c>
    </row>
    <row r="13" spans="1:12" x14ac:dyDescent="0.25">
      <c r="E13" t="s">
        <v>53</v>
      </c>
      <c r="F13">
        <v>47</v>
      </c>
    </row>
    <row r="14" spans="1:12" x14ac:dyDescent="0.25">
      <c r="A14" s="52" t="s">
        <v>460</v>
      </c>
      <c r="B14" s="52"/>
      <c r="E14" t="s">
        <v>115</v>
      </c>
      <c r="F14">
        <v>39</v>
      </c>
      <c r="I14" s="74" t="s">
        <v>466</v>
      </c>
      <c r="J14" s="74"/>
    </row>
    <row r="15" spans="1:12" x14ac:dyDescent="0.25">
      <c r="A15" s="48" t="s">
        <v>6</v>
      </c>
      <c r="B15" s="22" t="s">
        <v>457</v>
      </c>
      <c r="I15" s="48" t="s">
        <v>399</v>
      </c>
      <c r="J15" s="22" t="s">
        <v>456</v>
      </c>
    </row>
    <row r="16" spans="1:12" x14ac:dyDescent="0.25">
      <c r="A16" t="s">
        <v>33</v>
      </c>
      <c r="B16" s="50">
        <v>8338.7399999999961</v>
      </c>
      <c r="I16" t="s">
        <v>467</v>
      </c>
      <c r="J16" s="53">
        <v>20919.330000000002</v>
      </c>
    </row>
    <row r="17" spans="1:10" x14ac:dyDescent="0.25">
      <c r="A17" t="s">
        <v>19</v>
      </c>
      <c r="B17" s="50">
        <v>171756.05000000013</v>
      </c>
      <c r="E17" s="74" t="s">
        <v>463</v>
      </c>
      <c r="F17" s="74"/>
      <c r="G17" s="74"/>
      <c r="I17" t="s">
        <v>468</v>
      </c>
      <c r="J17" s="53">
        <v>6979.829999999999</v>
      </c>
    </row>
    <row r="18" spans="1:10" x14ac:dyDescent="0.25">
      <c r="A18" t="s">
        <v>46</v>
      </c>
      <c r="B18" s="50">
        <v>49097.680000000015</v>
      </c>
      <c r="E18" s="51" t="s">
        <v>9</v>
      </c>
      <c r="F18" s="22" t="s">
        <v>456</v>
      </c>
      <c r="I18" t="s">
        <v>469</v>
      </c>
      <c r="J18" s="53">
        <v>15759.429999999997</v>
      </c>
    </row>
    <row r="19" spans="1:10" x14ac:dyDescent="0.25">
      <c r="E19" t="s">
        <v>20</v>
      </c>
      <c r="F19" s="54">
        <v>57427.790000000023</v>
      </c>
      <c r="I19" t="s">
        <v>470</v>
      </c>
      <c r="J19" s="53">
        <v>23039.3</v>
      </c>
    </row>
    <row r="20" spans="1:10" x14ac:dyDescent="0.25">
      <c r="E20" t="s">
        <v>26</v>
      </c>
      <c r="F20" s="54">
        <v>61447.960000000014</v>
      </c>
      <c r="I20" t="s">
        <v>471</v>
      </c>
      <c r="J20" s="53">
        <v>16069.379999999997</v>
      </c>
    </row>
    <row r="21" spans="1:10" x14ac:dyDescent="0.25">
      <c r="E21" t="s">
        <v>57</v>
      </c>
      <c r="F21" s="54">
        <v>52118.310000000005</v>
      </c>
      <c r="I21" t="s">
        <v>472</v>
      </c>
      <c r="J21" s="53">
        <v>25799.15</v>
      </c>
    </row>
    <row r="22" spans="1:10" x14ac:dyDescent="0.25">
      <c r="E22" t="s">
        <v>34</v>
      </c>
      <c r="F22" s="54">
        <v>58198.409999999996</v>
      </c>
      <c r="I22" t="s">
        <v>473</v>
      </c>
      <c r="J22" s="53">
        <v>18479.399999999994</v>
      </c>
    </row>
    <row r="23" spans="1:10" x14ac:dyDescent="0.25">
      <c r="I23" t="s">
        <v>474</v>
      </c>
      <c r="J23" s="53">
        <v>19299.45</v>
      </c>
    </row>
    <row r="24" spans="1:10" x14ac:dyDescent="0.25">
      <c r="A24" s="52" t="s">
        <v>480</v>
      </c>
      <c r="B24" s="52"/>
      <c r="I24" t="s">
        <v>475</v>
      </c>
      <c r="J24" s="53">
        <v>19899.379999999997</v>
      </c>
    </row>
    <row r="25" spans="1:10" x14ac:dyDescent="0.25">
      <c r="A25" s="48" t="s">
        <v>3</v>
      </c>
      <c r="B25" s="22" t="s">
        <v>456</v>
      </c>
      <c r="I25" t="s">
        <v>476</v>
      </c>
      <c r="J25" s="53">
        <v>17039.349999999999</v>
      </c>
    </row>
    <row r="26" spans="1:10" x14ac:dyDescent="0.25">
      <c r="A26" t="s">
        <v>87</v>
      </c>
      <c r="B26" s="53">
        <v>15659.65</v>
      </c>
      <c r="I26" t="s">
        <v>477</v>
      </c>
      <c r="J26" s="53">
        <v>12309.439999999999</v>
      </c>
    </row>
    <row r="27" spans="1:10" x14ac:dyDescent="0.25">
      <c r="A27" t="s">
        <v>124</v>
      </c>
      <c r="B27" s="53">
        <v>11919.769999999999</v>
      </c>
      <c r="I27" t="s">
        <v>478</v>
      </c>
      <c r="J27" s="53">
        <v>20609.52</v>
      </c>
    </row>
    <row r="28" spans="1:10" x14ac:dyDescent="0.25">
      <c r="A28" t="s">
        <v>97</v>
      </c>
      <c r="B28" s="53">
        <v>10649.8</v>
      </c>
      <c r="I28" t="s">
        <v>479</v>
      </c>
      <c r="J28" s="53">
        <v>12989.509999999997</v>
      </c>
    </row>
    <row r="29" spans="1:10" x14ac:dyDescent="0.25">
      <c r="A29" t="s">
        <v>100</v>
      </c>
      <c r="B29" s="53">
        <v>9799.73</v>
      </c>
      <c r="E29" s="74" t="s">
        <v>481</v>
      </c>
      <c r="F29" s="74"/>
      <c r="G29" s="74"/>
    </row>
    <row r="30" spans="1:10" x14ac:dyDescent="0.25">
      <c r="A30" t="s">
        <v>16</v>
      </c>
      <c r="B30" s="53">
        <v>8309.739999999998</v>
      </c>
      <c r="E30" s="48" t="s">
        <v>10</v>
      </c>
      <c r="F30" t="s">
        <v>482</v>
      </c>
    </row>
    <row r="31" spans="1:10" x14ac:dyDescent="0.25">
      <c r="A31" t="s">
        <v>49</v>
      </c>
      <c r="B31" s="53">
        <v>8269.7900000000009</v>
      </c>
      <c r="E31" t="s">
        <v>21</v>
      </c>
      <c r="F31">
        <v>54</v>
      </c>
    </row>
    <row r="32" spans="1:10" x14ac:dyDescent="0.25">
      <c r="A32" t="s">
        <v>66</v>
      </c>
      <c r="B32" s="53">
        <v>8009.7699999999995</v>
      </c>
      <c r="E32" t="s">
        <v>63</v>
      </c>
      <c r="F32">
        <v>48</v>
      </c>
    </row>
    <row r="33" spans="1:10" x14ac:dyDescent="0.25">
      <c r="A33" t="s">
        <v>148</v>
      </c>
      <c r="B33" s="53">
        <v>7309.7999999999993</v>
      </c>
      <c r="E33" t="s">
        <v>40</v>
      </c>
      <c r="F33">
        <v>59</v>
      </c>
      <c r="I33" s="74" t="s">
        <v>483</v>
      </c>
      <c r="J33" s="74"/>
    </row>
    <row r="34" spans="1:10" x14ac:dyDescent="0.25">
      <c r="A34" t="s">
        <v>227</v>
      </c>
      <c r="B34" s="53">
        <v>6989.7699999999986</v>
      </c>
      <c r="E34" t="s">
        <v>35</v>
      </c>
      <c r="F34">
        <v>42</v>
      </c>
      <c r="I34" s="48" t="s">
        <v>5</v>
      </c>
      <c r="J34" t="s">
        <v>484</v>
      </c>
    </row>
    <row r="35" spans="1:10" x14ac:dyDescent="0.25">
      <c r="A35" t="s">
        <v>25</v>
      </c>
      <c r="B35" s="53">
        <v>6949.84</v>
      </c>
      <c r="E35" t="s">
        <v>50</v>
      </c>
      <c r="F35">
        <v>47</v>
      </c>
      <c r="I35" t="s">
        <v>32</v>
      </c>
      <c r="J35">
        <v>29</v>
      </c>
    </row>
    <row r="36" spans="1:10" x14ac:dyDescent="0.25">
      <c r="A36" t="s">
        <v>121</v>
      </c>
      <c r="B36" s="53">
        <v>6459.79</v>
      </c>
      <c r="I36" t="s">
        <v>45</v>
      </c>
      <c r="J36">
        <v>35</v>
      </c>
    </row>
    <row r="37" spans="1:10" x14ac:dyDescent="0.25">
      <c r="A37" t="s">
        <v>197</v>
      </c>
      <c r="B37" s="53">
        <v>6379.87</v>
      </c>
      <c r="I37" t="s">
        <v>115</v>
      </c>
      <c r="J37">
        <v>14</v>
      </c>
    </row>
    <row r="38" spans="1:10" x14ac:dyDescent="0.25">
      <c r="A38" t="s">
        <v>235</v>
      </c>
      <c r="B38" s="53">
        <v>6349.83</v>
      </c>
      <c r="I38" t="s">
        <v>106</v>
      </c>
      <c r="J38">
        <v>26</v>
      </c>
    </row>
    <row r="39" spans="1:10" x14ac:dyDescent="0.25">
      <c r="A39" t="s">
        <v>43</v>
      </c>
      <c r="B39" s="53">
        <v>6169.7400000000007</v>
      </c>
      <c r="I39" t="s">
        <v>53</v>
      </c>
      <c r="J39">
        <v>16</v>
      </c>
    </row>
    <row r="40" spans="1:10" x14ac:dyDescent="0.25">
      <c r="A40" t="s">
        <v>73</v>
      </c>
      <c r="B40" s="53">
        <v>5949.85</v>
      </c>
      <c r="I40" t="s">
        <v>118</v>
      </c>
      <c r="J40">
        <v>34</v>
      </c>
    </row>
    <row r="41" spans="1:10" x14ac:dyDescent="0.25">
      <c r="A41" t="s">
        <v>159</v>
      </c>
      <c r="B41" s="53">
        <v>5649.84</v>
      </c>
      <c r="I41" t="s">
        <v>62</v>
      </c>
      <c r="J41">
        <v>24</v>
      </c>
    </row>
    <row r="42" spans="1:10" x14ac:dyDescent="0.25">
      <c r="A42" t="s">
        <v>151</v>
      </c>
      <c r="B42" s="53">
        <v>5619.869999999999</v>
      </c>
      <c r="I42" t="s">
        <v>18</v>
      </c>
      <c r="J42">
        <v>26</v>
      </c>
    </row>
    <row r="43" spans="1:10" x14ac:dyDescent="0.25">
      <c r="A43" t="s">
        <v>145</v>
      </c>
      <c r="B43" s="53">
        <v>5519.8899999999994</v>
      </c>
      <c r="I43" t="s">
        <v>127</v>
      </c>
      <c r="J43">
        <v>15</v>
      </c>
    </row>
    <row r="44" spans="1:10" x14ac:dyDescent="0.25">
      <c r="A44" t="s">
        <v>155</v>
      </c>
      <c r="B44" s="53">
        <v>5499.8099999999995</v>
      </c>
      <c r="I44" t="s">
        <v>81</v>
      </c>
      <c r="J44">
        <v>31</v>
      </c>
    </row>
    <row r="45" spans="1:10" x14ac:dyDescent="0.25">
      <c r="A45" t="s">
        <v>56</v>
      </c>
      <c r="B45" s="53">
        <v>5089.7300000000005</v>
      </c>
    </row>
    <row r="46" spans="1:10" x14ac:dyDescent="0.25">
      <c r="A46" t="s">
        <v>294</v>
      </c>
      <c r="B46" s="53">
        <v>4829.8899999999994</v>
      </c>
    </row>
    <row r="47" spans="1:10" x14ac:dyDescent="0.25">
      <c r="A47" t="s">
        <v>94</v>
      </c>
      <c r="B47" s="53">
        <v>4789.7900000000009</v>
      </c>
    </row>
    <row r="48" spans="1:10" x14ac:dyDescent="0.25">
      <c r="A48" t="s">
        <v>253</v>
      </c>
      <c r="B48" s="53">
        <v>4749.91</v>
      </c>
    </row>
    <row r="49" spans="1:2" x14ac:dyDescent="0.25">
      <c r="A49" t="s">
        <v>142</v>
      </c>
      <c r="B49" s="53">
        <v>4739.8500000000004</v>
      </c>
    </row>
    <row r="50" spans="1:2" x14ac:dyDescent="0.25">
      <c r="A50" t="s">
        <v>39</v>
      </c>
      <c r="B50" s="53">
        <v>4309.8099999999995</v>
      </c>
    </row>
    <row r="51" spans="1:2" x14ac:dyDescent="0.25">
      <c r="A51" t="s">
        <v>79</v>
      </c>
      <c r="B51" s="53">
        <v>4199.9399999999996</v>
      </c>
    </row>
    <row r="52" spans="1:2" x14ac:dyDescent="0.25">
      <c r="A52" t="s">
        <v>109</v>
      </c>
      <c r="B52" s="53">
        <v>4189.7700000000004</v>
      </c>
    </row>
    <row r="53" spans="1:2" x14ac:dyDescent="0.25">
      <c r="A53" t="s">
        <v>84</v>
      </c>
      <c r="B53" s="53">
        <v>3779.93</v>
      </c>
    </row>
    <row r="54" spans="1:2" x14ac:dyDescent="0.25">
      <c r="A54" t="s">
        <v>103</v>
      </c>
      <c r="B54" s="53">
        <v>3769.8300000000004</v>
      </c>
    </row>
    <row r="55" spans="1:2" x14ac:dyDescent="0.25">
      <c r="A55" t="s">
        <v>172</v>
      </c>
      <c r="B55" s="53">
        <v>3669.8500000000004</v>
      </c>
    </row>
    <row r="56" spans="1:2" x14ac:dyDescent="0.25">
      <c r="A56" t="s">
        <v>212</v>
      </c>
      <c r="B56" s="53">
        <v>3649.8599999999997</v>
      </c>
    </row>
    <row r="57" spans="1:2" x14ac:dyDescent="0.25">
      <c r="A57" t="s">
        <v>60</v>
      </c>
      <c r="B57" s="53">
        <v>3509.8999999999996</v>
      </c>
    </row>
    <row r="58" spans="1:2" x14ac:dyDescent="0.25">
      <c r="A58" t="s">
        <v>30</v>
      </c>
      <c r="B58" s="53">
        <v>3259.87</v>
      </c>
    </row>
    <row r="59" spans="1:2" x14ac:dyDescent="0.25">
      <c r="A59" t="s">
        <v>139</v>
      </c>
      <c r="B59" s="53">
        <v>2649.83</v>
      </c>
    </row>
    <row r="60" spans="1:2" x14ac:dyDescent="0.25">
      <c r="A60" t="s">
        <v>186</v>
      </c>
      <c r="B60" s="53">
        <v>2099.88</v>
      </c>
    </row>
    <row r="61" spans="1:2" x14ac:dyDescent="0.25">
      <c r="A61" t="s">
        <v>130</v>
      </c>
      <c r="B61" s="53">
        <v>2039.8000000000002</v>
      </c>
    </row>
    <row r="62" spans="1:2" x14ac:dyDescent="0.25">
      <c r="A62" t="s">
        <v>69</v>
      </c>
      <c r="B62" s="53">
        <v>1979.89</v>
      </c>
    </row>
    <row r="63" spans="1:2" x14ac:dyDescent="0.25">
      <c r="A63" t="s">
        <v>90</v>
      </c>
      <c r="B63" s="53">
        <v>1909.93</v>
      </c>
    </row>
    <row r="64" spans="1:2" x14ac:dyDescent="0.25">
      <c r="A64" t="s">
        <v>183</v>
      </c>
      <c r="B64" s="53">
        <v>1809.84</v>
      </c>
    </row>
    <row r="65" spans="1:2" x14ac:dyDescent="0.25">
      <c r="A65" t="s">
        <v>247</v>
      </c>
      <c r="B65" s="53">
        <v>1749.92</v>
      </c>
    </row>
    <row r="66" spans="1:2" x14ac:dyDescent="0.25">
      <c r="A66" t="s">
        <v>326</v>
      </c>
      <c r="B66" s="53">
        <v>1559.94</v>
      </c>
    </row>
    <row r="67" spans="1:2" x14ac:dyDescent="0.25">
      <c r="A67" t="s">
        <v>193</v>
      </c>
      <c r="B67" s="53">
        <v>1479.91</v>
      </c>
    </row>
    <row r="68" spans="1:2" x14ac:dyDescent="0.25">
      <c r="A68" t="s">
        <v>113</v>
      </c>
      <c r="B68" s="53">
        <v>1289.9000000000001</v>
      </c>
    </row>
    <row r="69" spans="1:2" x14ac:dyDescent="0.25">
      <c r="A69" t="s">
        <v>133</v>
      </c>
      <c r="B69" s="53">
        <v>1229.8800000000001</v>
      </c>
    </row>
    <row r="70" spans="1:2" x14ac:dyDescent="0.25">
      <c r="A70" t="s">
        <v>232</v>
      </c>
      <c r="B70" s="53">
        <v>1149.93</v>
      </c>
    </row>
    <row r="71" spans="1:2" x14ac:dyDescent="0.25">
      <c r="A71" t="s">
        <v>260</v>
      </c>
      <c r="B71" s="53">
        <v>739.93000000000006</v>
      </c>
    </row>
    <row r="72" spans="1:2" x14ac:dyDescent="0.25">
      <c r="A72" t="s">
        <v>387</v>
      </c>
      <c r="B72" s="53">
        <v>599.96</v>
      </c>
    </row>
    <row r="73" spans="1:2" x14ac:dyDescent="0.25">
      <c r="A73" t="s">
        <v>76</v>
      </c>
      <c r="B73" s="53">
        <v>479.91999999999996</v>
      </c>
    </row>
    <row r="74" spans="1:2" x14ac:dyDescent="0.25">
      <c r="A74" t="s">
        <v>163</v>
      </c>
      <c r="B74" s="53">
        <v>239.96</v>
      </c>
    </row>
    <row r="75" spans="1:2" x14ac:dyDescent="0.25">
      <c r="A75" t="s">
        <v>305</v>
      </c>
      <c r="B75" s="53">
        <v>179.97</v>
      </c>
    </row>
  </sheetData>
  <mergeCells count="6">
    <mergeCell ref="E29:G29"/>
    <mergeCell ref="I33:J33"/>
    <mergeCell ref="A1:J1"/>
    <mergeCell ref="E17:G17"/>
    <mergeCell ref="I3:L3"/>
    <mergeCell ref="I14:J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2813-3768-44C2-995A-B86782EC6AAF}">
  <dimension ref="A1:AF17"/>
  <sheetViews>
    <sheetView showGridLines="0" tabSelected="1" topLeftCell="D1" zoomScale="89" zoomScaleNormal="89" workbookViewId="0">
      <selection activeCell="U26" sqref="U26"/>
    </sheetView>
  </sheetViews>
  <sheetFormatPr defaultRowHeight="15" x14ac:dyDescent="0.25"/>
  <sheetData>
    <row r="1" spans="1:32" ht="15" customHeight="1" x14ac:dyDescent="0.25">
      <c r="A1" s="60" t="s">
        <v>487</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row>
    <row r="2" spans="1:32" ht="15" customHeight="1" x14ac:dyDescent="0.25">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row>
    <row r="4" spans="1:32" x14ac:dyDescent="0.25">
      <c r="B4" s="65" t="s">
        <v>409</v>
      </c>
      <c r="C4" s="66"/>
    </row>
    <row r="5" spans="1:32" x14ac:dyDescent="0.25">
      <c r="B5" s="67">
        <f>Analysis!B5</f>
        <v>229192.47000000032</v>
      </c>
      <c r="C5" s="68"/>
    </row>
    <row r="7" spans="1:32" x14ac:dyDescent="0.25">
      <c r="B7" s="62" t="s">
        <v>485</v>
      </c>
      <c r="C7" s="62"/>
    </row>
    <row r="8" spans="1:32" x14ac:dyDescent="0.25">
      <c r="B8" s="69">
        <f>Analysis!B6</f>
        <v>250</v>
      </c>
      <c r="C8" s="69"/>
    </row>
    <row r="10" spans="1:32" x14ac:dyDescent="0.25">
      <c r="B10" s="62" t="s">
        <v>461</v>
      </c>
      <c r="C10" s="62"/>
    </row>
    <row r="11" spans="1:32" x14ac:dyDescent="0.25">
      <c r="B11" s="61">
        <f>Analysis!B7</f>
        <v>753</v>
      </c>
      <c r="C11" s="61"/>
    </row>
    <row r="13" spans="1:32" x14ac:dyDescent="0.25">
      <c r="B13" s="62" t="s">
        <v>486</v>
      </c>
      <c r="C13" s="62"/>
    </row>
    <row r="14" spans="1:32" x14ac:dyDescent="0.25">
      <c r="B14" s="63">
        <f>Analysis!B8</f>
        <v>916.76988000000131</v>
      </c>
      <c r="C14" s="63"/>
    </row>
    <row r="16" spans="1:32" x14ac:dyDescent="0.25">
      <c r="B16" s="55" t="s">
        <v>416</v>
      </c>
      <c r="C16" s="55"/>
    </row>
    <row r="17" spans="2:3" x14ac:dyDescent="0.25">
      <c r="B17" s="64">
        <f>Analysis!B12</f>
        <v>61</v>
      </c>
      <c r="C17" s="64"/>
    </row>
  </sheetData>
  <mergeCells count="10">
    <mergeCell ref="A1:AF2"/>
    <mergeCell ref="B11:C11"/>
    <mergeCell ref="B13:C13"/>
    <mergeCell ref="B14:C14"/>
    <mergeCell ref="B17:C17"/>
    <mergeCell ref="B4:C4"/>
    <mergeCell ref="B5:C5"/>
    <mergeCell ref="B7:C7"/>
    <mergeCell ref="B8:C8"/>
    <mergeCell ref="B10:C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vt:lpstr>
      <vt:lpstr>Raw_Data</vt:lpstr>
      <vt:lpstr>Analysis</vt:lpstr>
      <vt:lpstr>Summary_Output</vt: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Gandhi</dc:creator>
  <cp:lastModifiedBy>patel surendra</cp:lastModifiedBy>
  <dcterms:created xsi:type="dcterms:W3CDTF">2026-07-08T16:08:22Z</dcterms:created>
  <dcterms:modified xsi:type="dcterms:W3CDTF">2026-09-21T19:12:51Z</dcterms:modified>
</cp:coreProperties>
</file>